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y98\SynologyDrive\대학원\프로젝트\펀칭강도 예측\데이터 베이스\"/>
    </mc:Choice>
  </mc:AlternateContent>
  <xr:revisionPtr revIDLastSave="0" documentId="13_ncr:1_{103A84D0-37A6-45D7-8EDC-7CF8F25A00F4}" xr6:coauthVersionLast="47" xr6:coauthVersionMax="47" xr10:uidLastSave="{00000000-0000-0000-0000-000000000000}"/>
  <bookViews>
    <workbookView xWindow="8378" yWindow="1725" windowWidth="6285" windowHeight="5880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NEES_Database__ACI_445_Punching!$A$1:$G$520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2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<sst xmlns="http://schemas.openxmlformats.org/spreadsheetml/2006/main" count="1050" uniqueCount="100">
  <si>
    <t>TestID</t>
  </si>
  <si>
    <t>Authors</t>
  </si>
  <si>
    <t>Shape</t>
  </si>
  <si>
    <t>b1 [mm]</t>
  </si>
  <si>
    <t>d1 [mm]</t>
  </si>
  <si>
    <t>davg [(mm)]</t>
  </si>
  <si>
    <t>f1c [(MPa)]</t>
  </si>
  <si>
    <t>S</t>
  </si>
  <si>
    <t>[Bayrak &amp; Jirsa. 2009]</t>
  </si>
  <si>
    <t>[Ozden et al. 2006]</t>
  </si>
  <si>
    <t>C</t>
  </si>
  <si>
    <t>[Birkle 2004]</t>
  </si>
  <si>
    <t>R</t>
  </si>
  <si>
    <t>Ozawa et al</t>
  </si>
  <si>
    <t>Banthia et al</t>
  </si>
  <si>
    <t>Lunt</t>
  </si>
  <si>
    <t>Base</t>
  </si>
  <si>
    <t>[Li 2000]</t>
    <phoneticPr fontId="18" type="noConversion"/>
  </si>
  <si>
    <t>[El-Ghandour et al. 2003]</t>
    <phoneticPr fontId="18" type="noConversion"/>
  </si>
  <si>
    <t>[Ghannoum 1998]</t>
    <phoneticPr fontId="18" type="noConversion"/>
  </si>
  <si>
    <t>[Matthys &amp; Taerwe 2000]</t>
    <phoneticPr fontId="18" type="noConversion"/>
  </si>
  <si>
    <t>[Sistonen et al. 1997]</t>
    <phoneticPr fontId="18" type="noConversion"/>
  </si>
  <si>
    <t>[Ramdane 1996]</t>
    <phoneticPr fontId="18" type="noConversion"/>
  </si>
  <si>
    <t>Banthia et al</t>
    <phoneticPr fontId="18" type="noConversion"/>
  </si>
  <si>
    <t>[Nightingale 1970]</t>
    <phoneticPr fontId="18" type="noConversion"/>
  </si>
  <si>
    <t>[Moe 1961]</t>
    <phoneticPr fontId="18" type="noConversion"/>
  </si>
  <si>
    <t>[Rosenthal 1959]</t>
    <phoneticPr fontId="18" type="noConversion"/>
  </si>
  <si>
    <t>[Richart &amp; Kluge 1939]</t>
    <phoneticPr fontId="18" type="noConversion"/>
  </si>
  <si>
    <t>[Ladner et al. 1977]</t>
    <phoneticPr fontId="18" type="noConversion"/>
  </si>
  <si>
    <t>[Marzouk &amp; Hussein 1991]</t>
    <phoneticPr fontId="18" type="noConversion"/>
  </si>
  <si>
    <t>[Rankin &amp; Long 1987]</t>
    <phoneticPr fontId="18" type="noConversion"/>
  </si>
  <si>
    <t>[Oliveira et al., 2004]</t>
    <phoneticPr fontId="18" type="noConversion"/>
  </si>
  <si>
    <t>[Oliveira et al., 2005]</t>
  </si>
  <si>
    <t>[Oliveira et al., 2006]</t>
  </si>
  <si>
    <t>[Oliveira et al., 2007]</t>
  </si>
  <si>
    <t>[Oliveira et al., 2008]</t>
  </si>
  <si>
    <t>[Oliveira et al., 2009]</t>
  </si>
  <si>
    <t>[Oliveira et al., 2010]</t>
  </si>
  <si>
    <t>[Oliveira et al., 2011]</t>
  </si>
  <si>
    <t>[Oliveira et al., 2012]</t>
  </si>
  <si>
    <t>[Oliveira et al., 2013]</t>
  </si>
  <si>
    <t>[Oliveira et al., 2014]</t>
  </si>
  <si>
    <t>[Oliveira et al., 2015]</t>
  </si>
  <si>
    <t>[Oliveira et al., 2016]</t>
  </si>
  <si>
    <t>[Oliveira et al., 2017]</t>
  </si>
  <si>
    <t>[Oliveira et al., 2018]</t>
  </si>
  <si>
    <t>[Cheng and Parra-Montesinos, 2010]</t>
    <phoneticPr fontId="18" type="noConversion"/>
  </si>
  <si>
    <t>[Guandalini et al., 2009]</t>
    <phoneticPr fontId="18" type="noConversion"/>
  </si>
  <si>
    <t>[Guandalini et al., 2010]</t>
  </si>
  <si>
    <t>[Guandalini et al., 2011]</t>
  </si>
  <si>
    <t>[Guandalini et al., 2012]</t>
  </si>
  <si>
    <t>[Guandalini et al., 2013]</t>
  </si>
  <si>
    <t>[Guandalini et al., 2014]</t>
  </si>
  <si>
    <t>[Guandalini et al., 2015]</t>
  </si>
  <si>
    <t>[Guandalini et al., 2016]</t>
  </si>
  <si>
    <t>[Guandalini et al., 2017]</t>
  </si>
  <si>
    <t>[Guandalini et al., 2018]</t>
  </si>
  <si>
    <t>[Timm, 2003]</t>
    <phoneticPr fontId="18" type="noConversion"/>
  </si>
  <si>
    <t>[Ospina et al., 2003]</t>
  </si>
  <si>
    <t>[Ospina et al., 2003]</t>
    <phoneticPr fontId="18" type="noConversion"/>
  </si>
  <si>
    <t>[Ospina et al., 2001]</t>
    <phoneticPr fontId="18" type="noConversion"/>
  </si>
  <si>
    <t>[McHarg et al., 2000]</t>
    <phoneticPr fontId="18" type="noConversion"/>
  </si>
  <si>
    <t>[McHarg et al., 2001]</t>
  </si>
  <si>
    <t>[Hallgren, 1998]</t>
    <phoneticPr fontId="18" type="noConversion"/>
  </si>
  <si>
    <t>[Tomaszewicz, 1993]</t>
    <phoneticPr fontId="18" type="noConversion"/>
  </si>
  <si>
    <t>[Urban, 1994]</t>
    <phoneticPr fontId="18" type="noConversion"/>
  </si>
  <si>
    <t>[Theodorakopoulos and Swamy, 1993]</t>
    <phoneticPr fontId="18" type="noConversion"/>
  </si>
  <si>
    <t>[ALlexander and Simmonds, 1992]</t>
    <phoneticPr fontId="18" type="noConversion"/>
  </si>
  <si>
    <t>[Gardner, 1990]</t>
    <phoneticPr fontId="18" type="noConversion"/>
  </si>
  <si>
    <t>[Lovrovich and McLean, 1990]</t>
    <phoneticPr fontId="18" type="noConversion"/>
  </si>
  <si>
    <t>[Regan, 1986]</t>
    <phoneticPr fontId="18" type="noConversion"/>
  </si>
  <si>
    <t>[Regan, 1984]</t>
    <phoneticPr fontId="18" type="noConversion"/>
  </si>
  <si>
    <t>[Schäfers, 1984]</t>
    <phoneticPr fontId="18" type="noConversion"/>
  </si>
  <si>
    <t>[Swamy and Ali, 1982]</t>
    <phoneticPr fontId="18" type="noConversion"/>
  </si>
  <si>
    <t>[Kinnunen et al., 1980]</t>
    <phoneticPr fontId="18" type="noConversion"/>
  </si>
  <si>
    <t>[Criswell, 1974]</t>
    <phoneticPr fontId="18" type="noConversion"/>
  </si>
  <si>
    <t>[Long and Masterson, 1974]</t>
    <phoneticPr fontId="18" type="noConversion"/>
  </si>
  <si>
    <t>[Nylander and Sundquist, 1971]</t>
    <phoneticPr fontId="18" type="noConversion"/>
  </si>
  <si>
    <t>[Vanderbilt, 1972]</t>
    <phoneticPr fontId="18" type="noConversion"/>
  </si>
  <si>
    <t>[Hawkins et al., 1971]</t>
    <phoneticPr fontId="18" type="noConversion"/>
  </si>
  <si>
    <t>[Roll et al., 1971]</t>
    <phoneticPr fontId="18" type="noConversion"/>
  </si>
  <si>
    <t>[Corley and Hawkins, 1968]</t>
    <phoneticPr fontId="18" type="noConversion"/>
  </si>
  <si>
    <t>[Schaeidt et al., 1970]</t>
    <phoneticPr fontId="18" type="noConversion"/>
  </si>
  <si>
    <t>[Mowrer and Vanderbilt, 1967]</t>
    <phoneticPr fontId="18" type="noConversion"/>
  </si>
  <si>
    <t>[Manterola, 1966]</t>
    <phoneticPr fontId="18" type="noConversion"/>
  </si>
  <si>
    <t>[Yitzhaki, 1966]</t>
    <phoneticPr fontId="18" type="noConversion"/>
  </si>
  <si>
    <t>[Taylor and Hayes, 1965]</t>
    <phoneticPr fontId="18" type="noConversion"/>
  </si>
  <si>
    <t>[Kinnunen and Nylander, 1960]</t>
    <phoneticPr fontId="18" type="noConversion"/>
  </si>
  <si>
    <t>[Elstner and Hognestad, 1956]</t>
    <phoneticPr fontId="18" type="noConversion"/>
  </si>
  <si>
    <t>[Forssell and Holmberg, 1946]</t>
    <phoneticPr fontId="18" type="noConversion"/>
  </si>
  <si>
    <t>[Graf, 1938]</t>
    <phoneticPr fontId="18" type="noConversion"/>
  </si>
  <si>
    <t>[Tolf, 1988]</t>
    <phoneticPr fontId="18" type="noConversion"/>
  </si>
  <si>
    <t>[Pralong et al., 1979]</t>
    <phoneticPr fontId="18" type="noConversion"/>
  </si>
  <si>
    <t>[Marti et al., 1977]</t>
    <phoneticPr fontId="18" type="noConversion"/>
  </si>
  <si>
    <t>Ladner et al</t>
    <phoneticPr fontId="18" type="noConversion"/>
  </si>
  <si>
    <t>b0</t>
  </si>
  <si>
    <t>Pu [kN]</t>
    <phoneticPr fontId="18" type="noConversion"/>
  </si>
  <si>
    <t>middle</t>
    <phoneticPr fontId="18" type="noConversion"/>
  </si>
  <si>
    <t>ravg</t>
  </si>
  <si>
    <t>Vn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</si>
</sst>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0"/>
  <sheetViews>
    <sheetView tabSelected="1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C3" sqref="C3"/>
    </sheetView>
  </sheetViews>
  <sheetFormatPr defaultRowHeight="16.899999999999999" x14ac:dyDescent="0.6"/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95</v>
      </c>
      <c r="I1" t="s">
        <v>98</v>
      </c>
      <c r="J1" t="s">
        <v>96</v>
      </c>
      <c r="K1" t="s">
        <v>97</v>
      </c>
      <c r="L1" t="s">
        <v>99</v>
      </c>
    </row>
    <row r="2" spans="1:12" x14ac:dyDescent="0.6">
      <c r="A2">
        <v>1</v>
      </c>
      <c r="B2" s="1" t="s">
        <v>46</v>
      </c>
      <c r="C2" t="s">
        <v>7</v>
      </c>
      <c r="D2">
        <v>152</v>
      </c>
      <c r="F2">
        <v>165.1</v>
      </c>
      <c r="G2">
        <v>42.707630000000002</v>
      </c>
      <c r="H2">
        <f>4*D2+2*F2</f>
        <v>938.2</v>
      </c>
      <c r="I2">
        <v>7.5222900000000001E-3</v>
      </c>
      <c r="J2">
        <v>600</v>
      </c>
      <c r="K2">
        <f>(I2*G2*16/F2)^0.33</f>
        <v>0.31824778495193323</v>
      </c>
      <c r="L2">
        <f>K2*H2*F2/100</f>
        <v>492.95569861098306</v>
      </c>
    </row>
    <row r="3" spans="1:12" x14ac:dyDescent="0.6">
      <c r="A3">
        <v>2</v>
      </c>
      <c r="B3" s="1" t="s">
        <v>8</v>
      </c>
      <c r="C3" t="s">
        <v>7</v>
      </c>
      <c r="D3">
        <v>406</v>
      </c>
      <c r="F3">
        <v>126</v>
      </c>
      <c r="G3">
        <v>29.83</v>
      </c>
      <c r="H3">
        <f t="shared" ref="H3:H23" si="0">4*D3+2*F3</f>
        <v>1876</v>
      </c>
      <c r="I3">
        <v>4.9347439999999996E-3</v>
      </c>
      <c r="J3">
        <v>311</v>
      </c>
      <c r="K3">
        <f t="shared" ref="K3:K66" si="1">(I3*G3*16/F3)^0.33</f>
        <v>0.2689367889154769</v>
      </c>
      <c r="L3">
        <f t="shared" ref="L3:L66" si="2">K3*H3*F3/100</f>
        <v>635.70202416684765</v>
      </c>
    </row>
    <row r="4" spans="1:12" x14ac:dyDescent="0.6">
      <c r="A4">
        <v>3</v>
      </c>
      <c r="B4" s="1" t="s">
        <v>8</v>
      </c>
      <c r="C4" t="s">
        <v>7</v>
      </c>
      <c r="D4">
        <v>406</v>
      </c>
      <c r="F4">
        <v>126</v>
      </c>
      <c r="G4">
        <v>26.695</v>
      </c>
      <c r="H4">
        <f t="shared" si="0"/>
        <v>1876</v>
      </c>
      <c r="I4">
        <v>1.0459138999999999E-2</v>
      </c>
      <c r="J4">
        <v>401</v>
      </c>
      <c r="K4">
        <f t="shared" si="1"/>
        <v>0.33219481392688216</v>
      </c>
      <c r="L4">
        <f t="shared" si="2"/>
        <v>785.22881336780699</v>
      </c>
    </row>
    <row r="5" spans="1:12" x14ac:dyDescent="0.6">
      <c r="A5">
        <v>4</v>
      </c>
      <c r="B5" s="1" t="s">
        <v>9</v>
      </c>
      <c r="C5" t="s">
        <v>7</v>
      </c>
      <c r="D5">
        <v>200</v>
      </c>
      <c r="F5">
        <v>100</v>
      </c>
      <c r="G5">
        <v>20.52</v>
      </c>
      <c r="H5">
        <f t="shared" si="0"/>
        <v>1000</v>
      </c>
      <c r="I5">
        <v>7.2722050000000003E-3</v>
      </c>
      <c r="J5">
        <v>188</v>
      </c>
      <c r="K5">
        <f t="shared" si="1"/>
        <v>0.29155999839930408</v>
      </c>
      <c r="L5">
        <f t="shared" si="2"/>
        <v>291.55999839930405</v>
      </c>
    </row>
    <row r="6" spans="1:12" x14ac:dyDescent="0.6">
      <c r="A6">
        <v>5</v>
      </c>
      <c r="B6" s="1" t="s">
        <v>9</v>
      </c>
      <c r="C6" t="s">
        <v>7</v>
      </c>
      <c r="D6">
        <v>200</v>
      </c>
      <c r="F6">
        <v>100</v>
      </c>
      <c r="G6">
        <v>19</v>
      </c>
      <c r="H6">
        <f t="shared" si="0"/>
        <v>1000</v>
      </c>
      <c r="I6">
        <v>1.0908308E-2</v>
      </c>
      <c r="J6">
        <v>202</v>
      </c>
      <c r="K6">
        <f t="shared" si="1"/>
        <v>0.32494377528830659</v>
      </c>
      <c r="L6">
        <f t="shared" si="2"/>
        <v>324.9437752883066</v>
      </c>
    </row>
    <row r="7" spans="1:12" x14ac:dyDescent="0.6">
      <c r="A7">
        <v>6</v>
      </c>
      <c r="B7" s="1" t="s">
        <v>9</v>
      </c>
      <c r="C7" t="s">
        <v>7</v>
      </c>
      <c r="D7">
        <v>200</v>
      </c>
      <c r="F7">
        <v>100</v>
      </c>
      <c r="G7">
        <v>70.3</v>
      </c>
      <c r="H7">
        <f t="shared" si="0"/>
        <v>1000</v>
      </c>
      <c r="I7">
        <v>1.4945441E-2</v>
      </c>
      <c r="J7">
        <v>331</v>
      </c>
      <c r="K7">
        <f t="shared" si="1"/>
        <v>0.55519140471112716</v>
      </c>
      <c r="L7">
        <f t="shared" si="2"/>
        <v>555.19140471112712</v>
      </c>
    </row>
    <row r="8" spans="1:12" x14ac:dyDescent="0.6">
      <c r="A8">
        <v>7</v>
      </c>
      <c r="B8" s="1" t="s">
        <v>9</v>
      </c>
      <c r="C8" t="s">
        <v>7</v>
      </c>
      <c r="D8">
        <v>200</v>
      </c>
      <c r="F8">
        <v>100</v>
      </c>
      <c r="G8">
        <v>71.25</v>
      </c>
      <c r="H8">
        <f t="shared" si="0"/>
        <v>1000</v>
      </c>
      <c r="I8">
        <v>1.4945441E-2</v>
      </c>
      <c r="J8">
        <v>371</v>
      </c>
      <c r="K8">
        <f t="shared" si="1"/>
        <v>0.55765613357797361</v>
      </c>
      <c r="L8">
        <f t="shared" si="2"/>
        <v>557.65613357797361</v>
      </c>
    </row>
    <row r="9" spans="1:12" x14ac:dyDescent="0.6">
      <c r="A9">
        <v>8</v>
      </c>
      <c r="B9" s="1" t="s">
        <v>9</v>
      </c>
      <c r="C9" t="s">
        <v>7</v>
      </c>
      <c r="D9">
        <v>200</v>
      </c>
      <c r="F9">
        <v>100</v>
      </c>
      <c r="G9">
        <v>60.515000000000001</v>
      </c>
      <c r="H9">
        <f t="shared" si="0"/>
        <v>1000</v>
      </c>
      <c r="I9">
        <v>2.2637946999999999E-2</v>
      </c>
      <c r="J9">
        <v>405</v>
      </c>
      <c r="K9">
        <f t="shared" si="1"/>
        <v>0.6059972027640147</v>
      </c>
      <c r="L9">
        <f t="shared" si="2"/>
        <v>605.99720276401467</v>
      </c>
    </row>
    <row r="10" spans="1:12" x14ac:dyDescent="0.6">
      <c r="A10">
        <v>9</v>
      </c>
      <c r="B10" s="1" t="s">
        <v>9</v>
      </c>
      <c r="C10" t="s">
        <v>7</v>
      </c>
      <c r="D10">
        <v>200</v>
      </c>
      <c r="F10">
        <v>100</v>
      </c>
      <c r="G10">
        <v>70.965000000000003</v>
      </c>
      <c r="H10">
        <f t="shared" si="0"/>
        <v>1000</v>
      </c>
      <c r="I10">
        <v>2.2637946999999999E-2</v>
      </c>
      <c r="J10">
        <v>489</v>
      </c>
      <c r="K10">
        <f t="shared" si="1"/>
        <v>0.63870513155687303</v>
      </c>
      <c r="L10">
        <f t="shared" si="2"/>
        <v>638.70513155687308</v>
      </c>
    </row>
    <row r="11" spans="1:12" x14ac:dyDescent="0.6">
      <c r="A11">
        <v>10</v>
      </c>
      <c r="B11" s="1" t="s">
        <v>47</v>
      </c>
      <c r="C11" t="s">
        <v>7</v>
      </c>
      <c r="D11">
        <v>260</v>
      </c>
      <c r="F11">
        <v>210</v>
      </c>
      <c r="G11">
        <v>27.7</v>
      </c>
      <c r="H11">
        <f t="shared" si="0"/>
        <v>1460</v>
      </c>
      <c r="I11">
        <v>1.4959965E-2</v>
      </c>
      <c r="J11">
        <v>1024</v>
      </c>
      <c r="K11">
        <f t="shared" si="1"/>
        <v>0.3197220886087111</v>
      </c>
      <c r="L11">
        <f t="shared" si="2"/>
        <v>980.26792367430824</v>
      </c>
    </row>
    <row r="12" spans="1:12" x14ac:dyDescent="0.6">
      <c r="A12">
        <v>11</v>
      </c>
      <c r="B12" s="1" t="s">
        <v>48</v>
      </c>
      <c r="C12" t="s">
        <v>7</v>
      </c>
      <c r="D12">
        <v>260</v>
      </c>
      <c r="F12">
        <v>210</v>
      </c>
      <c r="G12">
        <v>40.5</v>
      </c>
      <c r="H12">
        <f t="shared" si="0"/>
        <v>1460</v>
      </c>
      <c r="I12">
        <v>2.493328E-3</v>
      </c>
      <c r="J12">
        <v>439</v>
      </c>
      <c r="K12">
        <f t="shared" si="1"/>
        <v>0.20064326731756077</v>
      </c>
      <c r="L12">
        <f t="shared" si="2"/>
        <v>615.17225759564133</v>
      </c>
    </row>
    <row r="13" spans="1:12" x14ac:dyDescent="0.6">
      <c r="A13">
        <v>12</v>
      </c>
      <c r="B13" s="1" t="s">
        <v>49</v>
      </c>
      <c r="C13" t="s">
        <v>7</v>
      </c>
      <c r="D13">
        <v>520</v>
      </c>
      <c r="F13">
        <v>456</v>
      </c>
      <c r="G13">
        <v>32.4</v>
      </c>
      <c r="H13">
        <f t="shared" si="0"/>
        <v>2992</v>
      </c>
      <c r="I13">
        <v>3.2661130000000002E-3</v>
      </c>
      <c r="J13">
        <v>2153</v>
      </c>
      <c r="K13">
        <f t="shared" si="1"/>
        <v>0.15776524914528095</v>
      </c>
      <c r="L13">
        <f t="shared" si="2"/>
        <v>2152.4733320186233</v>
      </c>
    </row>
    <row r="14" spans="1:12" x14ac:dyDescent="0.6">
      <c r="A14">
        <v>13</v>
      </c>
      <c r="B14" s="1" t="s">
        <v>50</v>
      </c>
      <c r="C14" t="s">
        <v>7</v>
      </c>
      <c r="D14">
        <v>260</v>
      </c>
      <c r="F14">
        <v>210</v>
      </c>
      <c r="G14">
        <v>32.200000000000003</v>
      </c>
      <c r="H14">
        <f t="shared" si="0"/>
        <v>1460</v>
      </c>
      <c r="I14">
        <v>2.493328E-3</v>
      </c>
      <c r="J14">
        <v>408</v>
      </c>
      <c r="K14">
        <f t="shared" si="1"/>
        <v>0.18601881410016607</v>
      </c>
      <c r="L14">
        <f t="shared" si="2"/>
        <v>570.33368403110921</v>
      </c>
    </row>
    <row r="15" spans="1:12" x14ac:dyDescent="0.6">
      <c r="A15">
        <v>14</v>
      </c>
      <c r="B15" s="1" t="s">
        <v>51</v>
      </c>
      <c r="C15" t="s">
        <v>7</v>
      </c>
      <c r="D15">
        <v>260</v>
      </c>
      <c r="F15">
        <v>210</v>
      </c>
      <c r="G15">
        <v>29.3</v>
      </c>
      <c r="H15">
        <f t="shared" si="0"/>
        <v>1460</v>
      </c>
      <c r="I15">
        <v>3.2521659999999999E-3</v>
      </c>
      <c r="J15">
        <v>550</v>
      </c>
      <c r="K15">
        <f t="shared" si="1"/>
        <v>0.19683872098802646</v>
      </c>
      <c r="L15">
        <f t="shared" si="2"/>
        <v>603.50751854928922</v>
      </c>
    </row>
    <row r="16" spans="1:12" x14ac:dyDescent="0.6">
      <c r="A16">
        <v>15</v>
      </c>
      <c r="B16" s="1" t="s">
        <v>52</v>
      </c>
      <c r="C16" t="s">
        <v>7</v>
      </c>
      <c r="D16">
        <v>130</v>
      </c>
      <c r="F16">
        <v>96</v>
      </c>
      <c r="G16">
        <v>29.3</v>
      </c>
      <c r="H16">
        <f t="shared" si="0"/>
        <v>712</v>
      </c>
      <c r="I16">
        <v>1.4577466000000001E-2</v>
      </c>
      <c r="J16">
        <v>236</v>
      </c>
      <c r="K16">
        <f t="shared" si="1"/>
        <v>0.41811088532307433</v>
      </c>
      <c r="L16">
        <f t="shared" si="2"/>
        <v>285.78715233602782</v>
      </c>
    </row>
    <row r="17" spans="1:12" x14ac:dyDescent="0.6">
      <c r="A17">
        <v>16</v>
      </c>
      <c r="B17" s="1" t="s">
        <v>53</v>
      </c>
      <c r="C17" t="s">
        <v>7</v>
      </c>
      <c r="D17">
        <v>130</v>
      </c>
      <c r="F17">
        <v>100</v>
      </c>
      <c r="G17">
        <v>34.700000000000003</v>
      </c>
      <c r="H17">
        <f t="shared" si="0"/>
        <v>720</v>
      </c>
      <c r="I17">
        <v>7.4799829999999999E-3</v>
      </c>
      <c r="J17">
        <v>243</v>
      </c>
      <c r="K17">
        <f t="shared" si="1"/>
        <v>0.34998990875182867</v>
      </c>
      <c r="L17">
        <f t="shared" si="2"/>
        <v>251.99273430131663</v>
      </c>
    </row>
    <row r="18" spans="1:12" x14ac:dyDescent="0.6">
      <c r="A18">
        <v>17</v>
      </c>
      <c r="B18" s="1" t="s">
        <v>54</v>
      </c>
      <c r="C18" t="s">
        <v>7</v>
      </c>
      <c r="D18">
        <v>130</v>
      </c>
      <c r="F18">
        <v>117</v>
      </c>
      <c r="G18">
        <v>34.700000000000003</v>
      </c>
      <c r="H18">
        <f t="shared" si="0"/>
        <v>754</v>
      </c>
      <c r="I18">
        <v>2.7717390000000001E-3</v>
      </c>
      <c r="J18">
        <v>141</v>
      </c>
      <c r="K18">
        <f t="shared" si="1"/>
        <v>0.23948331235648804</v>
      </c>
      <c r="L18">
        <f t="shared" si="2"/>
        <v>211.26738849464661</v>
      </c>
    </row>
    <row r="19" spans="1:12" x14ac:dyDescent="0.6">
      <c r="A19">
        <v>18</v>
      </c>
      <c r="B19" s="1" t="s">
        <v>55</v>
      </c>
      <c r="C19" t="s">
        <v>7</v>
      </c>
      <c r="D19">
        <v>130</v>
      </c>
      <c r="F19">
        <v>117</v>
      </c>
      <c r="G19">
        <v>29.3</v>
      </c>
      <c r="H19">
        <f t="shared" si="0"/>
        <v>754</v>
      </c>
      <c r="I19">
        <v>2.1919359999999998E-3</v>
      </c>
      <c r="J19">
        <v>118</v>
      </c>
      <c r="K19">
        <f t="shared" si="1"/>
        <v>0.2096031338024418</v>
      </c>
      <c r="L19">
        <f t="shared" si="2"/>
        <v>184.90769257783813</v>
      </c>
    </row>
    <row r="20" spans="1:12" x14ac:dyDescent="0.6">
      <c r="A20">
        <v>19</v>
      </c>
      <c r="B20" s="1" t="s">
        <v>56</v>
      </c>
      <c r="C20" t="s">
        <v>7</v>
      </c>
      <c r="D20">
        <v>260</v>
      </c>
      <c r="F20">
        <v>210</v>
      </c>
      <c r="G20">
        <v>28.5</v>
      </c>
      <c r="H20">
        <f t="shared" si="0"/>
        <v>1460</v>
      </c>
      <c r="I20">
        <v>3.2521659999999999E-3</v>
      </c>
      <c r="J20">
        <v>540</v>
      </c>
      <c r="K20">
        <f t="shared" si="1"/>
        <v>0.19504868357554123</v>
      </c>
      <c r="L20">
        <f t="shared" si="2"/>
        <v>598.01926384260946</v>
      </c>
    </row>
    <row r="21" spans="1:12" x14ac:dyDescent="0.6">
      <c r="A21">
        <v>20</v>
      </c>
      <c r="B21" s="1" t="s">
        <v>11</v>
      </c>
      <c r="C21" t="s">
        <v>7</v>
      </c>
      <c r="D21">
        <v>250</v>
      </c>
      <c r="F21">
        <v>124</v>
      </c>
      <c r="G21">
        <v>33.304000000000002</v>
      </c>
      <c r="H21">
        <f t="shared" si="0"/>
        <v>1248</v>
      </c>
      <c r="I21">
        <v>1.5387540999999999E-2</v>
      </c>
      <c r="J21">
        <v>483</v>
      </c>
      <c r="K21">
        <f t="shared" si="1"/>
        <v>0.40805630541656485</v>
      </c>
      <c r="L21">
        <f t="shared" si="2"/>
        <v>631.4752937582424</v>
      </c>
    </row>
    <row r="22" spans="1:12" x14ac:dyDescent="0.6">
      <c r="A22">
        <v>21</v>
      </c>
      <c r="B22" s="1" t="s">
        <v>11</v>
      </c>
      <c r="C22" t="s">
        <v>7</v>
      </c>
      <c r="D22">
        <v>300</v>
      </c>
      <c r="F22">
        <v>190</v>
      </c>
      <c r="G22">
        <v>32.200000000000003</v>
      </c>
      <c r="H22">
        <f t="shared" si="0"/>
        <v>1580</v>
      </c>
      <c r="I22">
        <v>1.2956934999999999E-2</v>
      </c>
      <c r="J22">
        <v>825</v>
      </c>
      <c r="K22">
        <f t="shared" si="1"/>
        <v>0.3311990604095072</v>
      </c>
      <c r="L22">
        <f t="shared" si="2"/>
        <v>994.25957934934058</v>
      </c>
    </row>
    <row r="23" spans="1:12" x14ac:dyDescent="0.6">
      <c r="A23">
        <v>22</v>
      </c>
      <c r="B23" s="1" t="s">
        <v>11</v>
      </c>
      <c r="C23" t="s">
        <v>7</v>
      </c>
      <c r="D23">
        <v>350</v>
      </c>
      <c r="F23">
        <v>260</v>
      </c>
      <c r="G23">
        <v>28.888000000000002</v>
      </c>
      <c r="H23">
        <f t="shared" si="0"/>
        <v>1920</v>
      </c>
      <c r="I23">
        <v>1.1000691E-2</v>
      </c>
      <c r="J23">
        <v>1046</v>
      </c>
      <c r="K23">
        <f t="shared" si="1"/>
        <v>0.27297554709870459</v>
      </c>
      <c r="L23">
        <f t="shared" si="2"/>
        <v>1362.6939311167332</v>
      </c>
    </row>
    <row r="24" spans="1:12" x14ac:dyDescent="0.6">
      <c r="A24">
        <v>23</v>
      </c>
      <c r="B24" s="2" t="s">
        <v>57</v>
      </c>
      <c r="C24" t="s">
        <v>10</v>
      </c>
      <c r="D24">
        <v>175</v>
      </c>
      <c r="F24">
        <v>172</v>
      </c>
      <c r="G24">
        <v>38.664999999999999</v>
      </c>
      <c r="H24">
        <f>PI()*(D24+F24)</f>
        <v>1090.1326507956583</v>
      </c>
      <c r="I24">
        <v>1.2420250000000001E-2</v>
      </c>
      <c r="J24">
        <v>789</v>
      </c>
      <c r="K24">
        <f t="shared" si="1"/>
        <v>0.35851981445579251</v>
      </c>
      <c r="L24">
        <f t="shared" si="2"/>
        <v>672.23474779619244</v>
      </c>
    </row>
    <row r="25" spans="1:12" x14ac:dyDescent="0.6">
      <c r="A25">
        <v>24</v>
      </c>
      <c r="B25" s="2" t="s">
        <v>57</v>
      </c>
      <c r="C25" t="s">
        <v>10</v>
      </c>
      <c r="D25">
        <v>175</v>
      </c>
      <c r="F25">
        <v>172</v>
      </c>
      <c r="G25">
        <v>34.200000000000003</v>
      </c>
      <c r="H25">
        <f t="shared" ref="H25:H26" si="3">PI()*(D25+F25)</f>
        <v>1090.1326507956583</v>
      </c>
      <c r="I25">
        <v>1.2420250000000001E-2</v>
      </c>
      <c r="J25">
        <v>668</v>
      </c>
      <c r="K25">
        <f t="shared" si="1"/>
        <v>0.34429192205890818</v>
      </c>
      <c r="L25">
        <f t="shared" si="2"/>
        <v>645.55704890356878</v>
      </c>
    </row>
    <row r="26" spans="1:12" x14ac:dyDescent="0.6">
      <c r="A26">
        <v>25</v>
      </c>
      <c r="B26" s="2" t="s">
        <v>57</v>
      </c>
      <c r="C26" t="s">
        <v>10</v>
      </c>
      <c r="D26">
        <v>250</v>
      </c>
      <c r="F26">
        <v>246</v>
      </c>
      <c r="G26">
        <v>31.16</v>
      </c>
      <c r="H26">
        <f t="shared" si="3"/>
        <v>1558.2299561805373</v>
      </c>
      <c r="I26">
        <v>1.1858509E-2</v>
      </c>
      <c r="J26">
        <v>1356</v>
      </c>
      <c r="K26">
        <f t="shared" si="1"/>
        <v>0.29219184854438635</v>
      </c>
      <c r="L26">
        <f t="shared" si="2"/>
        <v>1120.0431447299281</v>
      </c>
    </row>
    <row r="27" spans="1:12" x14ac:dyDescent="0.6">
      <c r="A27">
        <v>26</v>
      </c>
      <c r="B27" s="1" t="s">
        <v>18</v>
      </c>
      <c r="C27" t="s">
        <v>7</v>
      </c>
      <c r="D27">
        <v>200</v>
      </c>
      <c r="F27">
        <v>141.5</v>
      </c>
      <c r="G27">
        <v>30</v>
      </c>
      <c r="H27">
        <f t="shared" ref="H27:H34" si="4">4*D27+2*F27</f>
        <v>1083</v>
      </c>
      <c r="I27">
        <v>2.0051240000000001E-3</v>
      </c>
      <c r="J27">
        <v>170</v>
      </c>
      <c r="K27">
        <f t="shared" si="1"/>
        <v>0.19264892538064801</v>
      </c>
      <c r="L27">
        <f t="shared" si="2"/>
        <v>295.22388245494716</v>
      </c>
    </row>
    <row r="28" spans="1:12" x14ac:dyDescent="0.6">
      <c r="A28">
        <v>27</v>
      </c>
      <c r="B28" s="1" t="s">
        <v>18</v>
      </c>
      <c r="C28" t="s">
        <v>7</v>
      </c>
      <c r="D28">
        <v>200</v>
      </c>
      <c r="F28">
        <v>141.5</v>
      </c>
      <c r="G28">
        <v>30.75</v>
      </c>
      <c r="H28">
        <f t="shared" si="4"/>
        <v>1083</v>
      </c>
      <c r="I28">
        <v>2.0051240000000001E-3</v>
      </c>
      <c r="J28">
        <v>229</v>
      </c>
      <c r="K28">
        <f t="shared" si="1"/>
        <v>0.194225150385236</v>
      </c>
      <c r="L28">
        <f t="shared" si="2"/>
        <v>297.63936058210294</v>
      </c>
    </row>
    <row r="29" spans="1:12" x14ac:dyDescent="0.6">
      <c r="A29">
        <v>28</v>
      </c>
      <c r="B29" s="1" t="s">
        <v>18</v>
      </c>
      <c r="C29" t="s">
        <v>7</v>
      </c>
      <c r="D29">
        <v>200</v>
      </c>
      <c r="F29">
        <v>142</v>
      </c>
      <c r="G29">
        <v>43.5</v>
      </c>
      <c r="H29">
        <f t="shared" si="4"/>
        <v>1084</v>
      </c>
      <c r="I29">
        <v>4.5070320000000002E-3</v>
      </c>
      <c r="J29">
        <v>271</v>
      </c>
      <c r="K29">
        <f t="shared" si="1"/>
        <v>0.28417757710514779</v>
      </c>
      <c r="L29">
        <f t="shared" si="2"/>
        <v>437.42886088641194</v>
      </c>
    </row>
    <row r="30" spans="1:12" x14ac:dyDescent="0.6">
      <c r="A30">
        <v>29</v>
      </c>
      <c r="B30" s="1" t="s">
        <v>18</v>
      </c>
      <c r="C30" t="s">
        <v>7</v>
      </c>
      <c r="D30">
        <v>200</v>
      </c>
      <c r="F30">
        <v>142</v>
      </c>
      <c r="G30">
        <v>28.5</v>
      </c>
      <c r="H30">
        <f t="shared" si="4"/>
        <v>1084</v>
      </c>
      <c r="I30">
        <v>4.5070320000000002E-3</v>
      </c>
      <c r="J30">
        <v>237</v>
      </c>
      <c r="K30">
        <f t="shared" si="1"/>
        <v>0.24716510472086964</v>
      </c>
      <c r="L30">
        <f t="shared" si="2"/>
        <v>380.45630239474025</v>
      </c>
    </row>
    <row r="31" spans="1:12" x14ac:dyDescent="0.6">
      <c r="A31">
        <v>30</v>
      </c>
      <c r="B31" s="1" t="s">
        <v>18</v>
      </c>
      <c r="C31" t="s">
        <v>7</v>
      </c>
      <c r="D31">
        <v>200</v>
      </c>
      <c r="F31">
        <v>142</v>
      </c>
      <c r="G31">
        <v>27.75</v>
      </c>
      <c r="H31">
        <f t="shared" si="4"/>
        <v>1084</v>
      </c>
      <c r="I31">
        <v>4.5070320000000002E-3</v>
      </c>
      <c r="J31">
        <v>317</v>
      </c>
      <c r="K31">
        <f t="shared" si="1"/>
        <v>0.24499946624480148</v>
      </c>
      <c r="L31">
        <f t="shared" si="2"/>
        <v>377.12277840129798</v>
      </c>
    </row>
    <row r="32" spans="1:12" x14ac:dyDescent="0.6">
      <c r="A32">
        <v>31</v>
      </c>
      <c r="B32" s="1" t="s">
        <v>31</v>
      </c>
      <c r="C32" t="s">
        <v>7</v>
      </c>
      <c r="D32">
        <v>120</v>
      </c>
      <c r="F32">
        <v>107</v>
      </c>
      <c r="G32">
        <v>52.44</v>
      </c>
      <c r="H32">
        <f t="shared" si="4"/>
        <v>694</v>
      </c>
      <c r="I32">
        <v>9.8025769999999998E-3</v>
      </c>
      <c r="J32">
        <v>240</v>
      </c>
      <c r="K32">
        <f t="shared" si="1"/>
        <v>0.42883864946863476</v>
      </c>
      <c r="L32">
        <f t="shared" si="2"/>
        <v>318.44700432241882</v>
      </c>
    </row>
    <row r="33" spans="1:12" x14ac:dyDescent="0.6">
      <c r="A33">
        <v>32</v>
      </c>
      <c r="B33" s="1" t="s">
        <v>32</v>
      </c>
      <c r="C33" t="s">
        <v>7</v>
      </c>
      <c r="D33">
        <v>120</v>
      </c>
      <c r="F33">
        <v>108</v>
      </c>
      <c r="G33">
        <v>54.28</v>
      </c>
      <c r="H33">
        <f t="shared" si="4"/>
        <v>696</v>
      </c>
      <c r="I33">
        <v>9.7118129999999997E-3</v>
      </c>
      <c r="J33">
        <v>322</v>
      </c>
      <c r="K33">
        <f t="shared" si="1"/>
        <v>0.43109204082958785</v>
      </c>
      <c r="L33">
        <f t="shared" si="2"/>
        <v>324.04326525078454</v>
      </c>
    </row>
    <row r="34" spans="1:12" x14ac:dyDescent="0.6">
      <c r="A34">
        <v>33</v>
      </c>
      <c r="B34" s="1" t="s">
        <v>33</v>
      </c>
      <c r="C34" t="s">
        <v>7</v>
      </c>
      <c r="D34">
        <v>120</v>
      </c>
      <c r="F34">
        <v>107</v>
      </c>
      <c r="G34">
        <v>54.28</v>
      </c>
      <c r="H34">
        <f t="shared" si="4"/>
        <v>694</v>
      </c>
      <c r="I34">
        <v>9.8025769999999998E-3</v>
      </c>
      <c r="J34">
        <v>318</v>
      </c>
      <c r="K34">
        <f t="shared" si="1"/>
        <v>0.43374689720614434</v>
      </c>
      <c r="L34">
        <f t="shared" si="2"/>
        <v>322.0917709273387</v>
      </c>
    </row>
    <row r="35" spans="1:12" x14ac:dyDescent="0.6">
      <c r="A35">
        <v>34</v>
      </c>
      <c r="B35" s="1" t="s">
        <v>34</v>
      </c>
      <c r="C35" t="s">
        <v>12</v>
      </c>
      <c r="D35">
        <v>120</v>
      </c>
      <c r="E35">
        <v>240</v>
      </c>
      <c r="F35">
        <v>109</v>
      </c>
      <c r="G35">
        <v>53.36</v>
      </c>
      <c r="H35">
        <f>2*D35+2*E35+2*F35</f>
        <v>938</v>
      </c>
      <c r="I35">
        <v>9.6227129999999998E-3</v>
      </c>
      <c r="J35">
        <v>246</v>
      </c>
      <c r="K35">
        <f t="shared" si="1"/>
        <v>0.42606735170382487</v>
      </c>
      <c r="L35">
        <f t="shared" si="2"/>
        <v>435.61978172902462</v>
      </c>
    </row>
    <row r="36" spans="1:12" x14ac:dyDescent="0.6">
      <c r="A36">
        <v>35</v>
      </c>
      <c r="B36" s="1" t="s">
        <v>35</v>
      </c>
      <c r="C36" t="s">
        <v>12</v>
      </c>
      <c r="D36">
        <v>120</v>
      </c>
      <c r="E36">
        <v>240</v>
      </c>
      <c r="F36">
        <v>106</v>
      </c>
      <c r="G36">
        <v>53.36</v>
      </c>
      <c r="H36">
        <f t="shared" ref="H36:H46" si="5">2*D36+2*E36+2*F36</f>
        <v>932</v>
      </c>
      <c r="I36">
        <v>9.8950540000000003E-3</v>
      </c>
      <c r="J36">
        <v>361</v>
      </c>
      <c r="K36">
        <f t="shared" si="1"/>
        <v>0.43398815396798207</v>
      </c>
      <c r="L36">
        <f t="shared" si="2"/>
        <v>428.74557706804887</v>
      </c>
    </row>
    <row r="37" spans="1:12" x14ac:dyDescent="0.6">
      <c r="A37">
        <v>36</v>
      </c>
      <c r="B37" s="1" t="s">
        <v>36</v>
      </c>
      <c r="C37" t="s">
        <v>12</v>
      </c>
      <c r="D37">
        <v>120</v>
      </c>
      <c r="E37">
        <v>240</v>
      </c>
      <c r="F37">
        <v>107</v>
      </c>
      <c r="G37">
        <v>52.44</v>
      </c>
      <c r="H37">
        <f t="shared" si="5"/>
        <v>934</v>
      </c>
      <c r="I37">
        <v>9.8025769999999998E-3</v>
      </c>
      <c r="J37">
        <v>331</v>
      </c>
      <c r="K37">
        <f t="shared" si="1"/>
        <v>0.42883864946863476</v>
      </c>
      <c r="L37">
        <f t="shared" si="2"/>
        <v>428.57276950596417</v>
      </c>
    </row>
    <row r="38" spans="1:12" x14ac:dyDescent="0.6">
      <c r="A38">
        <v>37</v>
      </c>
      <c r="B38" s="1" t="s">
        <v>37</v>
      </c>
      <c r="C38" t="s">
        <v>12</v>
      </c>
      <c r="D38">
        <v>120</v>
      </c>
      <c r="E38">
        <v>360</v>
      </c>
      <c r="F38">
        <v>108</v>
      </c>
      <c r="G38">
        <v>51.52</v>
      </c>
      <c r="H38">
        <f t="shared" si="5"/>
        <v>1176</v>
      </c>
      <c r="I38">
        <v>9.7118129999999997E-3</v>
      </c>
      <c r="J38">
        <v>241</v>
      </c>
      <c r="K38">
        <f t="shared" si="1"/>
        <v>0.42373163586647039</v>
      </c>
      <c r="L38">
        <f t="shared" si="2"/>
        <v>538.17307608128669</v>
      </c>
    </row>
    <row r="39" spans="1:12" x14ac:dyDescent="0.6">
      <c r="A39">
        <v>38</v>
      </c>
      <c r="B39" s="1" t="s">
        <v>38</v>
      </c>
      <c r="C39" t="s">
        <v>12</v>
      </c>
      <c r="D39">
        <v>120</v>
      </c>
      <c r="E39">
        <v>360</v>
      </c>
      <c r="F39">
        <v>107</v>
      </c>
      <c r="G39">
        <v>55.2</v>
      </c>
      <c r="H39">
        <f t="shared" si="5"/>
        <v>1174</v>
      </c>
      <c r="I39">
        <v>9.8025769999999998E-3</v>
      </c>
      <c r="J39">
        <v>400</v>
      </c>
      <c r="K39">
        <f t="shared" si="1"/>
        <v>0.43615929270454101</v>
      </c>
      <c r="L39">
        <f t="shared" si="2"/>
        <v>547.8945803095902</v>
      </c>
    </row>
    <row r="40" spans="1:12" x14ac:dyDescent="0.6">
      <c r="A40">
        <v>39</v>
      </c>
      <c r="B40" s="1" t="s">
        <v>39</v>
      </c>
      <c r="C40" t="s">
        <v>12</v>
      </c>
      <c r="D40">
        <v>120</v>
      </c>
      <c r="E40">
        <v>360</v>
      </c>
      <c r="F40">
        <v>106</v>
      </c>
      <c r="G40">
        <v>49.68</v>
      </c>
      <c r="H40">
        <f t="shared" si="5"/>
        <v>1172</v>
      </c>
      <c r="I40">
        <v>9.8950540000000003E-3</v>
      </c>
      <c r="J40">
        <v>358</v>
      </c>
      <c r="K40">
        <f t="shared" si="1"/>
        <v>0.42387380474341646</v>
      </c>
      <c r="L40">
        <f t="shared" si="2"/>
        <v>526.58690510884105</v>
      </c>
    </row>
    <row r="41" spans="1:12" x14ac:dyDescent="0.6">
      <c r="A41">
        <v>40</v>
      </c>
      <c r="B41" s="1" t="s">
        <v>40</v>
      </c>
      <c r="C41" t="s">
        <v>12</v>
      </c>
      <c r="D41">
        <v>120</v>
      </c>
      <c r="E41">
        <v>480</v>
      </c>
      <c r="F41">
        <v>108</v>
      </c>
      <c r="G41">
        <v>51.52</v>
      </c>
      <c r="H41">
        <f t="shared" si="5"/>
        <v>1416</v>
      </c>
      <c r="I41">
        <v>9.7118129999999997E-3</v>
      </c>
      <c r="J41">
        <v>251</v>
      </c>
      <c r="K41">
        <f t="shared" si="1"/>
        <v>0.42373163586647039</v>
      </c>
      <c r="L41">
        <f t="shared" si="2"/>
        <v>648.00431609787574</v>
      </c>
    </row>
    <row r="42" spans="1:12" x14ac:dyDescent="0.6">
      <c r="A42">
        <v>41</v>
      </c>
      <c r="B42" s="1" t="s">
        <v>41</v>
      </c>
      <c r="C42" t="s">
        <v>12</v>
      </c>
      <c r="D42">
        <v>120</v>
      </c>
      <c r="E42">
        <v>480</v>
      </c>
      <c r="F42">
        <v>106</v>
      </c>
      <c r="G42">
        <v>49.68</v>
      </c>
      <c r="H42">
        <f t="shared" si="5"/>
        <v>1412</v>
      </c>
      <c r="I42">
        <v>9.8950540000000003E-3</v>
      </c>
      <c r="J42">
        <v>395</v>
      </c>
      <c r="K42">
        <f t="shared" si="1"/>
        <v>0.42387380474341646</v>
      </c>
      <c r="L42">
        <f t="shared" si="2"/>
        <v>634.42040103556621</v>
      </c>
    </row>
    <row r="43" spans="1:12" x14ac:dyDescent="0.6">
      <c r="A43">
        <v>42</v>
      </c>
      <c r="B43" s="1" t="s">
        <v>42</v>
      </c>
      <c r="C43" t="s">
        <v>12</v>
      </c>
      <c r="D43">
        <v>120</v>
      </c>
      <c r="E43">
        <v>480</v>
      </c>
      <c r="F43">
        <v>107</v>
      </c>
      <c r="G43">
        <v>51.52</v>
      </c>
      <c r="H43">
        <f t="shared" si="5"/>
        <v>1414</v>
      </c>
      <c r="I43">
        <v>9.8025769999999998E-3</v>
      </c>
      <c r="J43">
        <v>404</v>
      </c>
      <c r="K43">
        <f t="shared" si="1"/>
        <v>0.42634116359809804</v>
      </c>
      <c r="L43">
        <f t="shared" si="2"/>
        <v>645.0456537006504</v>
      </c>
    </row>
    <row r="44" spans="1:12" x14ac:dyDescent="0.6">
      <c r="A44">
        <v>43</v>
      </c>
      <c r="B44" s="1" t="s">
        <v>43</v>
      </c>
      <c r="C44" t="s">
        <v>12</v>
      </c>
      <c r="D44">
        <v>120</v>
      </c>
      <c r="E44">
        <v>600</v>
      </c>
      <c r="F44">
        <v>108</v>
      </c>
      <c r="G44">
        <v>52.44</v>
      </c>
      <c r="H44">
        <f t="shared" si="5"/>
        <v>1656</v>
      </c>
      <c r="I44">
        <v>9.7118129999999997E-3</v>
      </c>
      <c r="J44">
        <v>287</v>
      </c>
      <c r="K44">
        <f t="shared" si="1"/>
        <v>0.42621383525004547</v>
      </c>
      <c r="L44">
        <f t="shared" si="2"/>
        <v>762.27492006800128</v>
      </c>
    </row>
    <row r="45" spans="1:12" x14ac:dyDescent="0.6">
      <c r="A45">
        <v>44</v>
      </c>
      <c r="B45" s="1" t="s">
        <v>44</v>
      </c>
      <c r="C45" t="s">
        <v>12</v>
      </c>
      <c r="D45">
        <v>120</v>
      </c>
      <c r="E45">
        <v>600</v>
      </c>
      <c r="F45">
        <v>108</v>
      </c>
      <c r="G45">
        <v>61.64</v>
      </c>
      <c r="H45">
        <f t="shared" si="5"/>
        <v>1656</v>
      </c>
      <c r="I45">
        <v>9.7118129999999997E-3</v>
      </c>
      <c r="J45">
        <v>426</v>
      </c>
      <c r="K45">
        <f t="shared" si="1"/>
        <v>0.44956606926895104</v>
      </c>
      <c r="L45">
        <f t="shared" si="2"/>
        <v>804.03992356613355</v>
      </c>
    </row>
    <row r="46" spans="1:12" x14ac:dyDescent="0.6">
      <c r="A46">
        <v>45</v>
      </c>
      <c r="B46" s="1" t="s">
        <v>45</v>
      </c>
      <c r="C46" t="s">
        <v>12</v>
      </c>
      <c r="D46">
        <v>120</v>
      </c>
      <c r="E46">
        <v>600</v>
      </c>
      <c r="F46">
        <v>109</v>
      </c>
      <c r="G46">
        <v>57.96</v>
      </c>
      <c r="H46">
        <f t="shared" si="5"/>
        <v>1658</v>
      </c>
      <c r="I46">
        <v>9.6227129999999998E-3</v>
      </c>
      <c r="J46">
        <v>446</v>
      </c>
      <c r="K46">
        <f t="shared" si="1"/>
        <v>0.43785407930293707</v>
      </c>
      <c r="L46">
        <f t="shared" si="2"/>
        <v>791.29864919785393</v>
      </c>
    </row>
    <row r="47" spans="1:12" x14ac:dyDescent="0.6">
      <c r="A47">
        <v>46</v>
      </c>
      <c r="B47" s="2" t="s">
        <v>59</v>
      </c>
      <c r="C47" t="s">
        <v>7</v>
      </c>
      <c r="D47">
        <v>250</v>
      </c>
      <c r="F47">
        <v>120</v>
      </c>
      <c r="G47">
        <v>34.96</v>
      </c>
      <c r="H47">
        <f t="shared" ref="H47:H57" si="6">4*D47+2*F47</f>
        <v>1240</v>
      </c>
      <c r="I47">
        <v>8.3775800000000008E-3</v>
      </c>
      <c r="J47">
        <v>365</v>
      </c>
      <c r="K47">
        <f t="shared" si="1"/>
        <v>0.34295527380367097</v>
      </c>
      <c r="L47">
        <f t="shared" si="2"/>
        <v>510.31744741986245</v>
      </c>
    </row>
    <row r="48" spans="1:12" x14ac:dyDescent="0.6">
      <c r="A48">
        <v>47</v>
      </c>
      <c r="B48" s="2" t="s">
        <v>59</v>
      </c>
      <c r="C48" t="s">
        <v>7</v>
      </c>
      <c r="D48">
        <v>250</v>
      </c>
      <c r="F48">
        <v>120</v>
      </c>
      <c r="G48">
        <v>28.024999999999999</v>
      </c>
      <c r="H48">
        <f t="shared" si="6"/>
        <v>1240</v>
      </c>
      <c r="I48">
        <v>7.3631080000000002E-3</v>
      </c>
      <c r="J48">
        <v>199</v>
      </c>
      <c r="K48">
        <f t="shared" si="1"/>
        <v>0.30552730159620278</v>
      </c>
      <c r="L48">
        <f t="shared" si="2"/>
        <v>454.6246247751497</v>
      </c>
    </row>
    <row r="49" spans="1:12" x14ac:dyDescent="0.6">
      <c r="A49">
        <v>48</v>
      </c>
      <c r="B49" s="2" t="s">
        <v>59</v>
      </c>
      <c r="C49" t="s">
        <v>7</v>
      </c>
      <c r="D49">
        <v>250</v>
      </c>
      <c r="F49">
        <v>120</v>
      </c>
      <c r="G49">
        <v>27.454999999999998</v>
      </c>
      <c r="H49">
        <f t="shared" si="6"/>
        <v>1240</v>
      </c>
      <c r="I49">
        <v>1.4726216E-2</v>
      </c>
      <c r="J49">
        <v>249</v>
      </c>
      <c r="K49">
        <f t="shared" si="1"/>
        <v>0.38145643514598521</v>
      </c>
      <c r="L49">
        <f t="shared" si="2"/>
        <v>567.60717549722597</v>
      </c>
    </row>
    <row r="50" spans="1:12" x14ac:dyDescent="0.6">
      <c r="A50">
        <v>49</v>
      </c>
      <c r="B50" s="2" t="s">
        <v>58</v>
      </c>
      <c r="C50" t="s">
        <v>7</v>
      </c>
      <c r="D50">
        <v>250</v>
      </c>
      <c r="F50">
        <v>120</v>
      </c>
      <c r="G50">
        <v>35.625</v>
      </c>
      <c r="H50">
        <f t="shared" si="6"/>
        <v>1240</v>
      </c>
      <c r="I50">
        <v>8.3333330000000001E-3</v>
      </c>
      <c r="J50">
        <v>203</v>
      </c>
      <c r="K50">
        <f t="shared" si="1"/>
        <v>0.34449194711920883</v>
      </c>
      <c r="L50">
        <f t="shared" si="2"/>
        <v>512.60401731338277</v>
      </c>
    </row>
    <row r="51" spans="1:12" x14ac:dyDescent="0.6">
      <c r="A51">
        <v>50</v>
      </c>
      <c r="B51" s="2" t="s">
        <v>60</v>
      </c>
      <c r="C51" t="s">
        <v>7</v>
      </c>
      <c r="D51">
        <v>400</v>
      </c>
      <c r="F51">
        <v>109</v>
      </c>
      <c r="G51">
        <v>28.31</v>
      </c>
      <c r="H51">
        <f t="shared" si="6"/>
        <v>1818</v>
      </c>
      <c r="I51">
        <v>9.2230239999999998E-3</v>
      </c>
      <c r="J51">
        <v>541</v>
      </c>
      <c r="K51">
        <f t="shared" si="1"/>
        <v>0.34084522061740047</v>
      </c>
      <c r="L51">
        <f t="shared" si="2"/>
        <v>675.42570607985317</v>
      </c>
    </row>
    <row r="52" spans="1:12" x14ac:dyDescent="0.6">
      <c r="A52">
        <v>51</v>
      </c>
      <c r="B52" s="1" t="s">
        <v>17</v>
      </c>
      <c r="C52" t="s">
        <v>7</v>
      </c>
      <c r="D52">
        <v>200</v>
      </c>
      <c r="F52">
        <v>100</v>
      </c>
      <c r="G52">
        <v>37.43</v>
      </c>
      <c r="H52">
        <f t="shared" si="6"/>
        <v>1000</v>
      </c>
      <c r="I52">
        <v>9.7087379999999997E-3</v>
      </c>
      <c r="J52">
        <v>330</v>
      </c>
      <c r="K52">
        <f t="shared" si="1"/>
        <v>0.3910982341563306</v>
      </c>
      <c r="L52">
        <f t="shared" si="2"/>
        <v>391.09823415633059</v>
      </c>
    </row>
    <row r="53" spans="1:12" x14ac:dyDescent="0.6">
      <c r="A53">
        <v>52</v>
      </c>
      <c r="B53" s="1" t="s">
        <v>17</v>
      </c>
      <c r="C53" t="s">
        <v>7</v>
      </c>
      <c r="D53">
        <v>200</v>
      </c>
      <c r="F53">
        <v>150</v>
      </c>
      <c r="G53">
        <v>37.43</v>
      </c>
      <c r="H53">
        <f t="shared" si="6"/>
        <v>1100</v>
      </c>
      <c r="I53">
        <v>8.7719300000000007E-3</v>
      </c>
      <c r="J53">
        <v>583</v>
      </c>
      <c r="K53">
        <f t="shared" si="1"/>
        <v>0.3308517404984519</v>
      </c>
      <c r="L53">
        <f t="shared" si="2"/>
        <v>545.90537182244555</v>
      </c>
    </row>
    <row r="54" spans="1:12" x14ac:dyDescent="0.6">
      <c r="A54">
        <v>53</v>
      </c>
      <c r="B54" s="1" t="s">
        <v>17</v>
      </c>
      <c r="C54" t="s">
        <v>7</v>
      </c>
      <c r="D54">
        <v>200</v>
      </c>
      <c r="F54">
        <v>200</v>
      </c>
      <c r="G54">
        <v>37.43</v>
      </c>
      <c r="H54">
        <f t="shared" si="6"/>
        <v>1200</v>
      </c>
      <c r="I54">
        <v>8.2644629999999997E-3</v>
      </c>
      <c r="J54">
        <v>904</v>
      </c>
      <c r="K54">
        <f t="shared" si="1"/>
        <v>0.29502788760792176</v>
      </c>
      <c r="L54">
        <f t="shared" si="2"/>
        <v>708.06693025901211</v>
      </c>
    </row>
    <row r="55" spans="1:12" x14ac:dyDescent="0.6">
      <c r="A55">
        <v>54</v>
      </c>
      <c r="B55" s="1" t="s">
        <v>17</v>
      </c>
      <c r="C55" t="s">
        <v>7</v>
      </c>
      <c r="D55">
        <v>200</v>
      </c>
      <c r="F55">
        <v>300</v>
      </c>
      <c r="G55">
        <v>37.43</v>
      </c>
      <c r="H55">
        <f t="shared" si="6"/>
        <v>1400</v>
      </c>
      <c r="I55">
        <v>7.5757580000000001E-3</v>
      </c>
      <c r="J55">
        <v>1381</v>
      </c>
      <c r="K55">
        <f t="shared" si="1"/>
        <v>0.25077413085900557</v>
      </c>
      <c r="L55">
        <f t="shared" si="2"/>
        <v>1053.2513496078234</v>
      </c>
    </row>
    <row r="56" spans="1:12" x14ac:dyDescent="0.6">
      <c r="A56">
        <v>55</v>
      </c>
      <c r="B56" s="1" t="s">
        <v>17</v>
      </c>
      <c r="C56" t="s">
        <v>7</v>
      </c>
      <c r="D56">
        <v>300</v>
      </c>
      <c r="F56">
        <v>400</v>
      </c>
      <c r="G56">
        <v>37.43</v>
      </c>
      <c r="H56">
        <f t="shared" si="6"/>
        <v>2000</v>
      </c>
      <c r="I56">
        <v>7.5757580000000001E-3</v>
      </c>
      <c r="J56">
        <v>2224</v>
      </c>
      <c r="K56">
        <f t="shared" si="1"/>
        <v>0.22806201168173063</v>
      </c>
      <c r="L56">
        <f t="shared" si="2"/>
        <v>1824.4960934538453</v>
      </c>
    </row>
    <row r="57" spans="1:12" x14ac:dyDescent="0.6">
      <c r="A57">
        <v>56</v>
      </c>
      <c r="B57" s="1" t="s">
        <v>17</v>
      </c>
      <c r="C57" t="s">
        <v>7</v>
      </c>
      <c r="D57">
        <v>300</v>
      </c>
      <c r="F57">
        <v>500</v>
      </c>
      <c r="G57">
        <v>37.43</v>
      </c>
      <c r="H57">
        <f t="shared" si="6"/>
        <v>2200</v>
      </c>
      <c r="I57">
        <v>7.5757580000000001E-3</v>
      </c>
      <c r="J57">
        <v>2681</v>
      </c>
      <c r="K57">
        <f t="shared" si="1"/>
        <v>0.21187155133151284</v>
      </c>
      <c r="L57">
        <f t="shared" si="2"/>
        <v>2330.587064646641</v>
      </c>
    </row>
    <row r="58" spans="1:12" x14ac:dyDescent="0.6">
      <c r="A58">
        <v>57</v>
      </c>
      <c r="B58" s="1" t="s">
        <v>20</v>
      </c>
      <c r="C58" t="s">
        <v>10</v>
      </c>
      <c r="D58">
        <v>150</v>
      </c>
      <c r="F58">
        <v>90</v>
      </c>
      <c r="G58">
        <v>31.824999999999999</v>
      </c>
      <c r="H58">
        <f t="shared" ref="H58:H74" si="7">PI()*(D58+F58)</f>
        <v>753.98223686155029</v>
      </c>
      <c r="I58">
        <v>5.8177639999999996E-3</v>
      </c>
      <c r="J58">
        <v>240</v>
      </c>
      <c r="K58">
        <f t="shared" si="1"/>
        <v>0.32414748415285777</v>
      </c>
      <c r="L58">
        <f t="shared" si="2"/>
        <v>219.96130065715406</v>
      </c>
    </row>
    <row r="59" spans="1:12" x14ac:dyDescent="0.6">
      <c r="A59">
        <v>58</v>
      </c>
      <c r="B59" s="1" t="s">
        <v>20</v>
      </c>
      <c r="C59" t="s">
        <v>10</v>
      </c>
      <c r="D59">
        <v>230</v>
      </c>
      <c r="F59">
        <v>90</v>
      </c>
      <c r="G59">
        <v>31.824999999999999</v>
      </c>
      <c r="H59">
        <f t="shared" si="7"/>
        <v>1005.3096491487338</v>
      </c>
      <c r="I59">
        <v>5.8177639999999996E-3</v>
      </c>
      <c r="J59">
        <v>265</v>
      </c>
      <c r="K59">
        <f t="shared" si="1"/>
        <v>0.32414748415285777</v>
      </c>
      <c r="L59">
        <f t="shared" si="2"/>
        <v>293.2817342095388</v>
      </c>
    </row>
    <row r="60" spans="1:12" x14ac:dyDescent="0.6">
      <c r="A60">
        <v>59</v>
      </c>
      <c r="B60" s="1" t="s">
        <v>20</v>
      </c>
      <c r="C60" t="s">
        <v>10</v>
      </c>
      <c r="D60">
        <v>150</v>
      </c>
      <c r="F60">
        <v>88</v>
      </c>
      <c r="G60">
        <v>33.344999999999999</v>
      </c>
      <c r="H60">
        <f t="shared" si="7"/>
        <v>747.69905155437073</v>
      </c>
      <c r="I60">
        <v>1.2851970000000001E-2</v>
      </c>
      <c r="J60">
        <v>294</v>
      </c>
      <c r="K60">
        <f t="shared" si="1"/>
        <v>0.43076504303641011</v>
      </c>
      <c r="L60">
        <f t="shared" si="2"/>
        <v>283.43270042656934</v>
      </c>
    </row>
    <row r="61" spans="1:12" x14ac:dyDescent="0.6">
      <c r="A61">
        <v>60</v>
      </c>
      <c r="B61" s="1" t="s">
        <v>20</v>
      </c>
      <c r="C61" t="s">
        <v>10</v>
      </c>
      <c r="D61">
        <v>150</v>
      </c>
      <c r="F61">
        <v>86</v>
      </c>
      <c r="G61">
        <v>33.344999999999999</v>
      </c>
      <c r="H61">
        <f t="shared" si="7"/>
        <v>741.41586624719116</v>
      </c>
      <c r="I61">
        <v>1.7899772000000001E-2</v>
      </c>
      <c r="J61">
        <v>313</v>
      </c>
      <c r="K61">
        <f t="shared" si="1"/>
        <v>0.48418899946800603</v>
      </c>
      <c r="L61">
        <f t="shared" si="2"/>
        <v>308.72744956242195</v>
      </c>
    </row>
    <row r="62" spans="1:12" x14ac:dyDescent="0.6">
      <c r="A62">
        <v>61</v>
      </c>
      <c r="B62" s="1" t="s">
        <v>20</v>
      </c>
      <c r="C62" t="s">
        <v>10</v>
      </c>
      <c r="D62">
        <v>150</v>
      </c>
      <c r="F62">
        <v>96</v>
      </c>
      <c r="G62">
        <v>28.88</v>
      </c>
      <c r="H62">
        <f t="shared" si="7"/>
        <v>772.8317927830891</v>
      </c>
      <c r="I62">
        <v>2.7222219999999998E-3</v>
      </c>
      <c r="J62">
        <v>181</v>
      </c>
      <c r="K62">
        <f t="shared" si="1"/>
        <v>0.23918389160799175</v>
      </c>
      <c r="L62">
        <f t="shared" si="2"/>
        <v>177.45495912599071</v>
      </c>
    </row>
    <row r="63" spans="1:12" x14ac:dyDescent="0.6">
      <c r="A63">
        <v>62</v>
      </c>
      <c r="B63" s="1" t="s">
        <v>20</v>
      </c>
      <c r="C63" t="s">
        <v>10</v>
      </c>
      <c r="D63">
        <v>230</v>
      </c>
      <c r="F63">
        <v>96</v>
      </c>
      <c r="G63">
        <v>28.88</v>
      </c>
      <c r="H63">
        <f t="shared" si="7"/>
        <v>1024.1592050702725</v>
      </c>
      <c r="I63">
        <v>2.7222219999999998E-3</v>
      </c>
      <c r="J63">
        <v>189</v>
      </c>
      <c r="K63">
        <f t="shared" si="1"/>
        <v>0.23918389160799175</v>
      </c>
      <c r="L63">
        <f t="shared" si="2"/>
        <v>235.16388892306085</v>
      </c>
    </row>
    <row r="64" spans="1:12" x14ac:dyDescent="0.6">
      <c r="A64">
        <v>63</v>
      </c>
      <c r="B64" s="1" t="s">
        <v>20</v>
      </c>
      <c r="C64" t="s">
        <v>10</v>
      </c>
      <c r="D64">
        <v>150</v>
      </c>
      <c r="F64">
        <v>95</v>
      </c>
      <c r="G64">
        <v>28.12</v>
      </c>
      <c r="H64">
        <f t="shared" si="7"/>
        <v>769.69020012949932</v>
      </c>
      <c r="I64">
        <v>1.0526316000000001E-2</v>
      </c>
      <c r="J64">
        <v>255</v>
      </c>
      <c r="K64">
        <f t="shared" si="1"/>
        <v>0.37173809757921589</v>
      </c>
      <c r="L64">
        <f t="shared" si="2"/>
        <v>271.81701218543071</v>
      </c>
    </row>
    <row r="65" spans="1:12" x14ac:dyDescent="0.6">
      <c r="A65">
        <v>64</v>
      </c>
      <c r="B65" s="1" t="s">
        <v>20</v>
      </c>
      <c r="C65" t="s">
        <v>10</v>
      </c>
      <c r="D65">
        <v>230</v>
      </c>
      <c r="F65">
        <v>95</v>
      </c>
      <c r="G65">
        <v>28.12</v>
      </c>
      <c r="H65">
        <f t="shared" si="7"/>
        <v>1021.0176124166827</v>
      </c>
      <c r="I65">
        <v>1.0526316000000001E-2</v>
      </c>
      <c r="J65">
        <v>273</v>
      </c>
      <c r="K65">
        <f t="shared" si="1"/>
        <v>0.37173809757921589</v>
      </c>
      <c r="L65">
        <f t="shared" si="2"/>
        <v>360.57358759291827</v>
      </c>
    </row>
    <row r="66" spans="1:12" x14ac:dyDescent="0.6">
      <c r="A66">
        <v>65</v>
      </c>
      <c r="B66" s="1" t="s">
        <v>20</v>
      </c>
      <c r="C66" t="s">
        <v>10</v>
      </c>
      <c r="D66">
        <v>150</v>
      </c>
      <c r="F66">
        <v>126</v>
      </c>
      <c r="G66">
        <v>26.6</v>
      </c>
      <c r="H66">
        <f t="shared" si="7"/>
        <v>867.07957239078291</v>
      </c>
      <c r="I66">
        <v>5.1587300000000003E-3</v>
      </c>
      <c r="J66">
        <v>347</v>
      </c>
      <c r="K66">
        <f t="shared" si="1"/>
        <v>0.26277701674527876</v>
      </c>
      <c r="L66">
        <f t="shared" si="2"/>
        <v>287.0892149751636</v>
      </c>
    </row>
    <row r="67" spans="1:12" x14ac:dyDescent="0.6">
      <c r="A67">
        <v>66</v>
      </c>
      <c r="B67" s="1" t="s">
        <v>20</v>
      </c>
      <c r="C67" t="s">
        <v>10</v>
      </c>
      <c r="D67">
        <v>230</v>
      </c>
      <c r="F67">
        <v>126</v>
      </c>
      <c r="G67">
        <v>26.6</v>
      </c>
      <c r="H67">
        <f t="shared" si="7"/>
        <v>1118.4069846779664</v>
      </c>
      <c r="I67">
        <v>5.1587300000000003E-3</v>
      </c>
      <c r="J67">
        <v>343</v>
      </c>
      <c r="K67">
        <f t="shared" ref="K67:K130" si="8">(I67*G67*16/F67)^0.33</f>
        <v>0.26277701674527876</v>
      </c>
      <c r="L67">
        <f t="shared" ref="L67:L130" si="9">K67*H67*F67/100</f>
        <v>370.30348018535602</v>
      </c>
    </row>
    <row r="68" spans="1:12" x14ac:dyDescent="0.6">
      <c r="A68">
        <v>67</v>
      </c>
      <c r="B68" s="1" t="s">
        <v>20</v>
      </c>
      <c r="C68" t="s">
        <v>10</v>
      </c>
      <c r="D68">
        <v>150</v>
      </c>
      <c r="F68">
        <v>95</v>
      </c>
      <c r="G68">
        <v>25.84</v>
      </c>
      <c r="H68">
        <f t="shared" si="7"/>
        <v>769.69020012949932</v>
      </c>
      <c r="I68">
        <v>1.8789430000000001E-3</v>
      </c>
      <c r="J68">
        <v>142</v>
      </c>
      <c r="K68">
        <f t="shared" si="8"/>
        <v>0.20471931627027162</v>
      </c>
      <c r="L68">
        <f t="shared" si="9"/>
        <v>149.69192893491766</v>
      </c>
    </row>
    <row r="69" spans="1:12" x14ac:dyDescent="0.6">
      <c r="A69">
        <v>68</v>
      </c>
      <c r="B69" s="1" t="s">
        <v>20</v>
      </c>
      <c r="C69" t="s">
        <v>10</v>
      </c>
      <c r="D69">
        <v>230</v>
      </c>
      <c r="F69">
        <v>95</v>
      </c>
      <c r="G69">
        <v>25.84</v>
      </c>
      <c r="H69">
        <f t="shared" si="7"/>
        <v>1021.0176124166827</v>
      </c>
      <c r="I69">
        <v>1.8789430000000001E-3</v>
      </c>
      <c r="J69">
        <v>150</v>
      </c>
      <c r="K69">
        <f t="shared" si="8"/>
        <v>0.20471931627027162</v>
      </c>
      <c r="L69">
        <f t="shared" si="9"/>
        <v>198.57092613815607</v>
      </c>
    </row>
    <row r="70" spans="1:12" x14ac:dyDescent="0.6">
      <c r="A70">
        <v>69</v>
      </c>
      <c r="B70" s="1" t="s">
        <v>20</v>
      </c>
      <c r="C70" t="s">
        <v>10</v>
      </c>
      <c r="D70">
        <v>150</v>
      </c>
      <c r="F70">
        <v>95</v>
      </c>
      <c r="G70">
        <v>91.864999999999995</v>
      </c>
      <c r="H70">
        <f t="shared" si="7"/>
        <v>769.69020012949932</v>
      </c>
      <c r="I70">
        <v>6.2315790000000001E-3</v>
      </c>
      <c r="J70">
        <v>207</v>
      </c>
      <c r="K70">
        <f t="shared" si="8"/>
        <v>0.46213377006343159</v>
      </c>
      <c r="L70">
        <f t="shared" si="9"/>
        <v>337.91484226838656</v>
      </c>
    </row>
    <row r="71" spans="1:12" x14ac:dyDescent="0.6">
      <c r="A71">
        <v>70</v>
      </c>
      <c r="B71" s="1" t="s">
        <v>20</v>
      </c>
      <c r="C71" t="s">
        <v>10</v>
      </c>
      <c r="D71">
        <v>150</v>
      </c>
      <c r="F71">
        <v>89</v>
      </c>
      <c r="G71">
        <v>27.835000000000001</v>
      </c>
      <c r="H71">
        <f t="shared" si="7"/>
        <v>750.84064420796051</v>
      </c>
      <c r="I71">
        <v>3.7640448999999999E-2</v>
      </c>
      <c r="J71">
        <v>231</v>
      </c>
      <c r="K71">
        <f t="shared" si="8"/>
        <v>0.57642403211377369</v>
      </c>
      <c r="L71">
        <f t="shared" si="9"/>
        <v>385.19430653223782</v>
      </c>
    </row>
    <row r="72" spans="1:12" x14ac:dyDescent="0.6">
      <c r="A72">
        <v>71</v>
      </c>
      <c r="B72" s="1" t="s">
        <v>20</v>
      </c>
      <c r="C72" t="s">
        <v>10</v>
      </c>
      <c r="D72">
        <v>80</v>
      </c>
      <c r="F72">
        <v>89</v>
      </c>
      <c r="G72">
        <v>27.835000000000001</v>
      </c>
      <c r="H72">
        <f t="shared" si="7"/>
        <v>530.92915845667505</v>
      </c>
      <c r="I72">
        <v>3.7640448999999999E-2</v>
      </c>
      <c r="J72">
        <v>171</v>
      </c>
      <c r="K72">
        <f t="shared" si="8"/>
        <v>0.57642403211377369</v>
      </c>
      <c r="L72">
        <f t="shared" si="9"/>
        <v>272.3758903930887</v>
      </c>
    </row>
    <row r="73" spans="1:12" x14ac:dyDescent="0.6">
      <c r="A73">
        <v>72</v>
      </c>
      <c r="B73" s="1" t="s">
        <v>20</v>
      </c>
      <c r="C73" t="s">
        <v>10</v>
      </c>
      <c r="D73">
        <v>150</v>
      </c>
      <c r="F73">
        <v>122</v>
      </c>
      <c r="G73">
        <v>24.984999999999999</v>
      </c>
      <c r="H73">
        <f t="shared" si="7"/>
        <v>854.51320177642378</v>
      </c>
      <c r="I73">
        <v>1.2185792000000001E-2</v>
      </c>
      <c r="J73">
        <v>237</v>
      </c>
      <c r="K73">
        <f t="shared" si="8"/>
        <v>0.34548307624610503</v>
      </c>
      <c r="L73">
        <f t="shared" si="9"/>
        <v>360.16821656400555</v>
      </c>
    </row>
    <row r="74" spans="1:12" x14ac:dyDescent="0.6">
      <c r="A74">
        <v>73</v>
      </c>
      <c r="B74" s="1" t="s">
        <v>20</v>
      </c>
      <c r="C74" t="s">
        <v>10</v>
      </c>
      <c r="D74">
        <v>80</v>
      </c>
      <c r="F74">
        <v>122</v>
      </c>
      <c r="G74">
        <v>24.984999999999999</v>
      </c>
      <c r="H74">
        <f t="shared" si="7"/>
        <v>634.60171602513822</v>
      </c>
      <c r="I74">
        <v>1.2185792000000001E-2</v>
      </c>
      <c r="J74">
        <v>217</v>
      </c>
      <c r="K74">
        <f t="shared" si="8"/>
        <v>0.34548307624610503</v>
      </c>
      <c r="L74">
        <f t="shared" si="9"/>
        <v>267.47786671297473</v>
      </c>
    </row>
    <row r="75" spans="1:12" x14ac:dyDescent="0.6">
      <c r="A75">
        <v>74</v>
      </c>
      <c r="B75" s="2" t="s">
        <v>61</v>
      </c>
      <c r="C75" t="s">
        <v>7</v>
      </c>
      <c r="D75">
        <v>225</v>
      </c>
      <c r="F75">
        <v>125</v>
      </c>
      <c r="G75">
        <v>28.5</v>
      </c>
      <c r="H75">
        <f t="shared" ref="H75:H86" si="10">4*D75+2*F75</f>
        <v>1150</v>
      </c>
      <c r="I75">
        <v>9.7382839999999998E-3</v>
      </c>
      <c r="J75">
        <v>306</v>
      </c>
      <c r="K75">
        <f t="shared" si="8"/>
        <v>0.33241246252128948</v>
      </c>
      <c r="L75">
        <f t="shared" si="9"/>
        <v>477.8429148743536</v>
      </c>
    </row>
    <row r="76" spans="1:12" x14ac:dyDescent="0.6">
      <c r="A76">
        <v>75</v>
      </c>
      <c r="B76" s="2" t="s">
        <v>62</v>
      </c>
      <c r="C76" t="s">
        <v>7</v>
      </c>
      <c r="D76">
        <v>225</v>
      </c>
      <c r="F76">
        <v>125</v>
      </c>
      <c r="G76">
        <v>28.5</v>
      </c>
      <c r="H76">
        <f t="shared" si="10"/>
        <v>1150</v>
      </c>
      <c r="I76">
        <v>1.0999999999999999E-2</v>
      </c>
      <c r="J76">
        <v>349</v>
      </c>
      <c r="K76">
        <f t="shared" si="8"/>
        <v>0.34604906479546682</v>
      </c>
      <c r="L76">
        <f t="shared" si="9"/>
        <v>497.44553064348349</v>
      </c>
    </row>
    <row r="77" spans="1:12" x14ac:dyDescent="0.6">
      <c r="A77">
        <v>76</v>
      </c>
      <c r="B77" t="s">
        <v>13</v>
      </c>
      <c r="C77" t="s">
        <v>7</v>
      </c>
      <c r="D77">
        <v>100</v>
      </c>
      <c r="F77">
        <v>60</v>
      </c>
      <c r="G77">
        <v>37.049999999999997</v>
      </c>
      <c r="H77">
        <f t="shared" si="10"/>
        <v>520</v>
      </c>
      <c r="I77">
        <v>1.95E-2</v>
      </c>
      <c r="J77">
        <v>120</v>
      </c>
      <c r="K77">
        <f t="shared" si="8"/>
        <v>0.58073929559051263</v>
      </c>
      <c r="L77">
        <f t="shared" si="9"/>
        <v>181.19066022423993</v>
      </c>
    </row>
    <row r="78" spans="1:12" x14ac:dyDescent="0.6">
      <c r="A78">
        <v>77</v>
      </c>
      <c r="B78" t="s">
        <v>13</v>
      </c>
      <c r="C78" t="s">
        <v>7</v>
      </c>
      <c r="D78">
        <v>100</v>
      </c>
      <c r="F78">
        <v>60</v>
      </c>
      <c r="G78">
        <v>37.049999999999997</v>
      </c>
      <c r="H78">
        <f t="shared" si="10"/>
        <v>520</v>
      </c>
      <c r="I78">
        <v>1.95E-2</v>
      </c>
      <c r="J78">
        <v>170</v>
      </c>
      <c r="K78">
        <f t="shared" si="8"/>
        <v>0.58073929559051263</v>
      </c>
      <c r="L78">
        <f t="shared" si="9"/>
        <v>181.19066022423993</v>
      </c>
    </row>
    <row r="79" spans="1:12" x14ac:dyDescent="0.6">
      <c r="A79">
        <v>78</v>
      </c>
      <c r="B79" t="s">
        <v>13</v>
      </c>
      <c r="C79" t="s">
        <v>7</v>
      </c>
      <c r="D79">
        <v>100</v>
      </c>
      <c r="F79">
        <v>60</v>
      </c>
      <c r="G79">
        <v>37.049999999999997</v>
      </c>
      <c r="H79">
        <f t="shared" si="10"/>
        <v>520</v>
      </c>
      <c r="I79">
        <v>1.4999999999999999E-2</v>
      </c>
      <c r="J79">
        <v>135</v>
      </c>
      <c r="K79">
        <f t="shared" si="8"/>
        <v>0.53257393454548507</v>
      </c>
      <c r="L79">
        <f t="shared" si="9"/>
        <v>166.16306757819132</v>
      </c>
    </row>
    <row r="80" spans="1:12" x14ac:dyDescent="0.6">
      <c r="A80">
        <v>79</v>
      </c>
      <c r="B80" t="s">
        <v>13</v>
      </c>
      <c r="C80" t="s">
        <v>7</v>
      </c>
      <c r="D80">
        <v>100</v>
      </c>
      <c r="F80">
        <v>75</v>
      </c>
      <c r="G80">
        <v>27.645</v>
      </c>
      <c r="H80">
        <f t="shared" si="10"/>
        <v>550</v>
      </c>
      <c r="I80">
        <v>9.5849249999999993E-3</v>
      </c>
      <c r="J80">
        <v>180</v>
      </c>
      <c r="K80">
        <f t="shared" si="8"/>
        <v>0.38747807253867395</v>
      </c>
      <c r="L80">
        <f t="shared" si="9"/>
        <v>159.834704922203</v>
      </c>
    </row>
    <row r="81" spans="1:12" x14ac:dyDescent="0.6">
      <c r="A81">
        <v>80</v>
      </c>
      <c r="B81" s="1" t="s">
        <v>19</v>
      </c>
      <c r="C81" t="s">
        <v>7</v>
      </c>
      <c r="D81">
        <v>225</v>
      </c>
      <c r="F81">
        <v>127</v>
      </c>
      <c r="G81">
        <v>35.340000000000003</v>
      </c>
      <c r="H81">
        <f t="shared" si="10"/>
        <v>1154</v>
      </c>
      <c r="I81">
        <v>9.5849249999999993E-3</v>
      </c>
      <c r="J81">
        <v>301</v>
      </c>
      <c r="K81">
        <f t="shared" si="8"/>
        <v>0.35314788005383074</v>
      </c>
      <c r="L81">
        <f t="shared" si="9"/>
        <v>517.56647004929323</v>
      </c>
    </row>
    <row r="82" spans="1:12" x14ac:dyDescent="0.6">
      <c r="A82">
        <v>81</v>
      </c>
      <c r="B82" s="1" t="s">
        <v>19</v>
      </c>
      <c r="C82" t="s">
        <v>7</v>
      </c>
      <c r="D82">
        <v>225</v>
      </c>
      <c r="F82">
        <v>123</v>
      </c>
      <c r="G82">
        <v>35.340000000000003</v>
      </c>
      <c r="H82">
        <f t="shared" si="10"/>
        <v>1146</v>
      </c>
      <c r="I82">
        <v>9.5849249999999993E-3</v>
      </c>
      <c r="J82">
        <v>317</v>
      </c>
      <c r="K82">
        <f t="shared" si="8"/>
        <v>0.35689720321294749</v>
      </c>
      <c r="L82">
        <f t="shared" si="9"/>
        <v>503.07515970490653</v>
      </c>
    </row>
    <row r="83" spans="1:12" x14ac:dyDescent="0.6">
      <c r="A83">
        <v>82</v>
      </c>
      <c r="B83" s="1" t="s">
        <v>19</v>
      </c>
      <c r="C83" t="s">
        <v>7</v>
      </c>
      <c r="D83">
        <v>225</v>
      </c>
      <c r="F83">
        <v>127</v>
      </c>
      <c r="G83">
        <v>54.244999999999997</v>
      </c>
      <c r="H83">
        <f t="shared" si="10"/>
        <v>1154</v>
      </c>
      <c r="I83">
        <v>4.4372780000000002E-3</v>
      </c>
      <c r="J83">
        <v>363</v>
      </c>
      <c r="K83">
        <f t="shared" si="8"/>
        <v>0.31549433287295636</v>
      </c>
      <c r="L83">
        <f t="shared" si="9"/>
        <v>462.38218437194746</v>
      </c>
    </row>
    <row r="84" spans="1:12" x14ac:dyDescent="0.6">
      <c r="A84">
        <v>83</v>
      </c>
      <c r="B84" s="1" t="s">
        <v>19</v>
      </c>
      <c r="C84" t="s">
        <v>7</v>
      </c>
      <c r="D84">
        <v>225</v>
      </c>
      <c r="F84">
        <v>123</v>
      </c>
      <c r="G84">
        <v>54.244999999999997</v>
      </c>
      <c r="H84">
        <f t="shared" si="10"/>
        <v>1146</v>
      </c>
      <c r="I84">
        <v>4.3392159999999999E-3</v>
      </c>
      <c r="J84">
        <v>447</v>
      </c>
      <c r="K84">
        <f t="shared" si="8"/>
        <v>0.31650117875561046</v>
      </c>
      <c r="L84">
        <f t="shared" si="9"/>
        <v>446.13373155033338</v>
      </c>
    </row>
    <row r="85" spans="1:12" x14ac:dyDescent="0.6">
      <c r="A85">
        <v>84</v>
      </c>
      <c r="B85" s="1" t="s">
        <v>19</v>
      </c>
      <c r="C85" t="s">
        <v>7</v>
      </c>
      <c r="D85">
        <v>225</v>
      </c>
      <c r="F85">
        <v>127</v>
      </c>
      <c r="G85">
        <v>63.744999999999997</v>
      </c>
      <c r="H85">
        <f t="shared" si="10"/>
        <v>1154</v>
      </c>
      <c r="I85">
        <v>4.4123490000000003E-3</v>
      </c>
      <c r="J85">
        <v>443</v>
      </c>
      <c r="K85">
        <f t="shared" si="8"/>
        <v>0.33213346804835625</v>
      </c>
      <c r="L85">
        <f t="shared" si="9"/>
        <v>486.76816810230991</v>
      </c>
    </row>
    <row r="86" spans="1:12" x14ac:dyDescent="0.6">
      <c r="A86">
        <v>85</v>
      </c>
      <c r="B86" s="1" t="s">
        <v>19</v>
      </c>
      <c r="C86" t="s">
        <v>7</v>
      </c>
      <c r="D86">
        <v>225</v>
      </c>
      <c r="F86">
        <v>123</v>
      </c>
      <c r="G86">
        <v>63.744999999999997</v>
      </c>
      <c r="H86">
        <f t="shared" si="10"/>
        <v>1146</v>
      </c>
      <c r="I86">
        <v>6.4259850000000004E-3</v>
      </c>
      <c r="J86">
        <v>485</v>
      </c>
      <c r="K86">
        <f t="shared" si="8"/>
        <v>0.3799953064013965</v>
      </c>
      <c r="L86">
        <f t="shared" si="9"/>
        <v>535.63378399728049</v>
      </c>
    </row>
    <row r="87" spans="1:12" x14ac:dyDescent="0.6">
      <c r="A87">
        <v>86</v>
      </c>
      <c r="B87" s="1" t="s">
        <v>21</v>
      </c>
      <c r="C87" t="s">
        <v>10</v>
      </c>
      <c r="D87">
        <v>202</v>
      </c>
      <c r="F87">
        <v>172</v>
      </c>
      <c r="G87">
        <v>31.065000000000001</v>
      </c>
      <c r="H87">
        <f t="shared" ref="H87:H120" si="11">PI()*(D87+F87)</f>
        <v>1174.9556524425827</v>
      </c>
      <c r="I87">
        <v>6.353783E-3</v>
      </c>
      <c r="J87">
        <v>503</v>
      </c>
      <c r="K87">
        <f t="shared" si="8"/>
        <v>0.26735323272089212</v>
      </c>
      <c r="L87">
        <f t="shared" si="9"/>
        <v>540.30049021284026</v>
      </c>
    </row>
    <row r="88" spans="1:12" x14ac:dyDescent="0.6">
      <c r="A88">
        <v>87</v>
      </c>
      <c r="B88" s="1" t="s">
        <v>21</v>
      </c>
      <c r="C88" t="s">
        <v>10</v>
      </c>
      <c r="D88">
        <v>202</v>
      </c>
      <c r="F88">
        <v>176</v>
      </c>
      <c r="G88">
        <v>31.065000000000001</v>
      </c>
      <c r="H88">
        <f t="shared" si="11"/>
        <v>1187.5220230569419</v>
      </c>
      <c r="I88">
        <v>6.2484719999999997E-3</v>
      </c>
      <c r="J88">
        <v>537</v>
      </c>
      <c r="K88">
        <f t="shared" si="8"/>
        <v>0.26387322519840828</v>
      </c>
      <c r="L88">
        <f t="shared" si="9"/>
        <v>551.50526854398595</v>
      </c>
    </row>
    <row r="89" spans="1:12" x14ac:dyDescent="0.6">
      <c r="A89">
        <v>88</v>
      </c>
      <c r="B89" s="1" t="s">
        <v>21</v>
      </c>
      <c r="C89" t="s">
        <v>10</v>
      </c>
      <c r="D89">
        <v>201</v>
      </c>
      <c r="F89">
        <v>173</v>
      </c>
      <c r="G89">
        <v>31.065000000000001</v>
      </c>
      <c r="H89">
        <f t="shared" si="11"/>
        <v>1174.9556524425827</v>
      </c>
      <c r="I89">
        <v>6.1801820000000002E-3</v>
      </c>
      <c r="J89">
        <v>530</v>
      </c>
      <c r="K89">
        <f t="shared" si="8"/>
        <v>0.26441393888604164</v>
      </c>
      <c r="L89">
        <f t="shared" si="9"/>
        <v>537.46714809625871</v>
      </c>
    </row>
    <row r="90" spans="1:12" x14ac:dyDescent="0.6">
      <c r="A90">
        <v>89</v>
      </c>
      <c r="B90" s="1" t="s">
        <v>21</v>
      </c>
      <c r="C90" t="s">
        <v>10</v>
      </c>
      <c r="D90">
        <v>402</v>
      </c>
      <c r="F90">
        <v>170</v>
      </c>
      <c r="G90">
        <v>31.065000000000001</v>
      </c>
      <c r="H90">
        <f t="shared" si="11"/>
        <v>1796.9909978533617</v>
      </c>
      <c r="I90">
        <v>1.1047359E-2</v>
      </c>
      <c r="J90">
        <v>686</v>
      </c>
      <c r="K90">
        <f t="shared" si="8"/>
        <v>0.3221337976522427</v>
      </c>
      <c r="L90">
        <f t="shared" si="9"/>
        <v>984.08160862517411</v>
      </c>
    </row>
    <row r="91" spans="1:12" x14ac:dyDescent="0.6">
      <c r="A91">
        <v>90</v>
      </c>
      <c r="B91" s="1" t="s">
        <v>21</v>
      </c>
      <c r="C91" t="s">
        <v>10</v>
      </c>
      <c r="D91">
        <v>399</v>
      </c>
      <c r="F91">
        <v>172</v>
      </c>
      <c r="G91">
        <v>31.065000000000001</v>
      </c>
      <c r="H91">
        <f t="shared" si="11"/>
        <v>1793.8494051997718</v>
      </c>
      <c r="I91">
        <v>1.1170107E-2</v>
      </c>
      <c r="J91">
        <v>696</v>
      </c>
      <c r="K91">
        <f t="shared" si="8"/>
        <v>0.32206510672902811</v>
      </c>
      <c r="L91">
        <f t="shared" si="9"/>
        <v>993.70643624332502</v>
      </c>
    </row>
    <row r="92" spans="1:12" x14ac:dyDescent="0.6">
      <c r="A92">
        <v>91</v>
      </c>
      <c r="B92" s="1" t="s">
        <v>21</v>
      </c>
      <c r="C92" t="s">
        <v>10</v>
      </c>
      <c r="D92">
        <v>406</v>
      </c>
      <c r="F92">
        <v>175</v>
      </c>
      <c r="G92">
        <v>31.065000000000001</v>
      </c>
      <c r="H92">
        <f t="shared" si="11"/>
        <v>1825.2653317356699</v>
      </c>
      <c r="I92">
        <v>1.1108394000000001E-2</v>
      </c>
      <c r="J92">
        <v>799</v>
      </c>
      <c r="K92">
        <f t="shared" si="8"/>
        <v>0.3196476435477259</v>
      </c>
      <c r="L92">
        <f t="shared" si="9"/>
        <v>1021.0230837426637</v>
      </c>
    </row>
    <row r="93" spans="1:12" x14ac:dyDescent="0.6">
      <c r="A93">
        <v>92</v>
      </c>
      <c r="B93" s="1" t="s">
        <v>21</v>
      </c>
      <c r="C93" t="s">
        <v>10</v>
      </c>
      <c r="D93">
        <v>201</v>
      </c>
      <c r="F93">
        <v>177</v>
      </c>
      <c r="G93">
        <v>22.895</v>
      </c>
      <c r="H93">
        <f t="shared" si="11"/>
        <v>1187.5220230569419</v>
      </c>
      <c r="I93">
        <v>8.3775800000000008E-3</v>
      </c>
      <c r="J93">
        <v>478</v>
      </c>
      <c r="K93">
        <f t="shared" si="8"/>
        <v>0.26234449943914911</v>
      </c>
      <c r="L93">
        <f t="shared" si="9"/>
        <v>551.42557115995521</v>
      </c>
    </row>
    <row r="94" spans="1:12" x14ac:dyDescent="0.6">
      <c r="A94">
        <v>93</v>
      </c>
      <c r="B94" s="1" t="s">
        <v>21</v>
      </c>
      <c r="C94" t="s">
        <v>10</v>
      </c>
      <c r="D94">
        <v>899</v>
      </c>
      <c r="F94">
        <v>174</v>
      </c>
      <c r="G94">
        <v>22.895</v>
      </c>
      <c r="H94">
        <f t="shared" si="11"/>
        <v>3370.9289173018478</v>
      </c>
      <c r="I94">
        <v>8.3775800000000008E-3</v>
      </c>
      <c r="J94">
        <v>1111</v>
      </c>
      <c r="K94">
        <f t="shared" si="8"/>
        <v>0.26382860964297811</v>
      </c>
      <c r="L94">
        <f t="shared" si="9"/>
        <v>1547.4646316552773</v>
      </c>
    </row>
    <row r="95" spans="1:12" x14ac:dyDescent="0.6">
      <c r="A95">
        <v>94</v>
      </c>
      <c r="B95" s="1" t="s">
        <v>21</v>
      </c>
      <c r="C95" t="s">
        <v>10</v>
      </c>
      <c r="D95">
        <v>897</v>
      </c>
      <c r="F95">
        <v>172</v>
      </c>
      <c r="G95">
        <v>22.895</v>
      </c>
      <c r="H95">
        <f t="shared" si="11"/>
        <v>3358.3625466874887</v>
      </c>
      <c r="I95">
        <v>8.6366810000000002E-3</v>
      </c>
      <c r="J95">
        <v>1107</v>
      </c>
      <c r="K95">
        <f t="shared" si="8"/>
        <v>0.26751250655992542</v>
      </c>
      <c r="L95">
        <f t="shared" si="9"/>
        <v>1545.2548504183128</v>
      </c>
    </row>
    <row r="96" spans="1:12" x14ac:dyDescent="0.6">
      <c r="A96">
        <v>95</v>
      </c>
      <c r="B96" s="1" t="s">
        <v>21</v>
      </c>
      <c r="C96" t="s">
        <v>10</v>
      </c>
      <c r="D96">
        <v>901</v>
      </c>
      <c r="F96">
        <v>173</v>
      </c>
      <c r="G96">
        <v>22.895</v>
      </c>
      <c r="H96">
        <f t="shared" si="11"/>
        <v>3374.070509955438</v>
      </c>
      <c r="I96">
        <v>1.2566371E-2</v>
      </c>
      <c r="J96">
        <v>1079</v>
      </c>
      <c r="K96">
        <f t="shared" si="8"/>
        <v>0.30217466796133996</v>
      </c>
      <c r="L96">
        <f t="shared" si="9"/>
        <v>1763.836440321405</v>
      </c>
    </row>
    <row r="97" spans="1:12" x14ac:dyDescent="0.6">
      <c r="A97">
        <v>96</v>
      </c>
      <c r="B97" s="1" t="s">
        <v>63</v>
      </c>
      <c r="C97" t="s">
        <v>10</v>
      </c>
      <c r="D97">
        <v>250</v>
      </c>
      <c r="F97">
        <v>200</v>
      </c>
      <c r="G97">
        <v>84.674999999999997</v>
      </c>
      <c r="H97">
        <f t="shared" si="11"/>
        <v>1413.7166941154069</v>
      </c>
      <c r="I97">
        <v>6.2519259999999997E-3</v>
      </c>
      <c r="J97">
        <v>965</v>
      </c>
      <c r="K97">
        <f t="shared" si="8"/>
        <v>0.35226011861855788</v>
      </c>
      <c r="L97">
        <f t="shared" si="9"/>
        <v>995.99202072425749</v>
      </c>
    </row>
    <row r="98" spans="1:12" x14ac:dyDescent="0.6">
      <c r="A98">
        <v>97</v>
      </c>
      <c r="B98" s="1" t="s">
        <v>63</v>
      </c>
      <c r="C98" t="s">
        <v>10</v>
      </c>
      <c r="D98">
        <v>250</v>
      </c>
      <c r="F98">
        <v>200</v>
      </c>
      <c r="G98">
        <v>86.734999999999999</v>
      </c>
      <c r="H98">
        <f t="shared" si="11"/>
        <v>1413.7166941154069</v>
      </c>
      <c r="I98">
        <v>5.8074399999999997E-3</v>
      </c>
      <c r="J98">
        <v>1021</v>
      </c>
      <c r="K98">
        <f t="shared" si="8"/>
        <v>0.34652837614849014</v>
      </c>
      <c r="L98">
        <f t="shared" si="9"/>
        <v>979.78590069164738</v>
      </c>
    </row>
    <row r="99" spans="1:12" x14ac:dyDescent="0.6">
      <c r="A99">
        <v>98</v>
      </c>
      <c r="B99" s="1" t="s">
        <v>63</v>
      </c>
      <c r="C99" t="s">
        <v>10</v>
      </c>
      <c r="D99">
        <v>250</v>
      </c>
      <c r="F99">
        <v>194</v>
      </c>
      <c r="G99">
        <v>81.415000000000006</v>
      </c>
      <c r="H99">
        <f t="shared" si="11"/>
        <v>1394.8671381938682</v>
      </c>
      <c r="I99">
        <v>5.8074399999999997E-3</v>
      </c>
      <c r="J99">
        <v>889</v>
      </c>
      <c r="K99">
        <f t="shared" si="8"/>
        <v>0.3427933954082012</v>
      </c>
      <c r="L99">
        <f t="shared" si="9"/>
        <v>927.61341034290558</v>
      </c>
    </row>
    <row r="100" spans="1:12" x14ac:dyDescent="0.6">
      <c r="A100">
        <v>99</v>
      </c>
      <c r="B100" s="1" t="s">
        <v>63</v>
      </c>
      <c r="C100" t="s">
        <v>10</v>
      </c>
      <c r="D100">
        <v>250</v>
      </c>
      <c r="F100">
        <v>200</v>
      </c>
      <c r="G100">
        <v>87.02</v>
      </c>
      <c r="H100">
        <f t="shared" si="11"/>
        <v>1413.7166941154069</v>
      </c>
      <c r="I100">
        <v>5.8074399999999997E-3</v>
      </c>
      <c r="J100">
        <v>1041</v>
      </c>
      <c r="K100">
        <f t="shared" si="8"/>
        <v>0.3469037169471616</v>
      </c>
      <c r="L100">
        <f t="shared" si="9"/>
        <v>980.84715179777629</v>
      </c>
    </row>
    <row r="101" spans="1:12" x14ac:dyDescent="0.6">
      <c r="A101">
        <v>100</v>
      </c>
      <c r="B101" s="1" t="s">
        <v>63</v>
      </c>
      <c r="C101" t="s">
        <v>10</v>
      </c>
      <c r="D101">
        <v>250</v>
      </c>
      <c r="F101">
        <v>201</v>
      </c>
      <c r="G101">
        <v>103.36</v>
      </c>
      <c r="H101">
        <f t="shared" si="11"/>
        <v>1416.8582867689968</v>
      </c>
      <c r="I101">
        <v>5.8074399999999997E-3</v>
      </c>
      <c r="J101">
        <v>960</v>
      </c>
      <c r="K101">
        <f t="shared" si="8"/>
        <v>0.36656937744700419</v>
      </c>
      <c r="L101">
        <f t="shared" si="9"/>
        <v>1043.9474888241955</v>
      </c>
    </row>
    <row r="102" spans="1:12" x14ac:dyDescent="0.6">
      <c r="A102">
        <v>101</v>
      </c>
      <c r="B102" s="1" t="s">
        <v>63</v>
      </c>
      <c r="C102" t="s">
        <v>10</v>
      </c>
      <c r="D102">
        <v>250</v>
      </c>
      <c r="F102">
        <v>202</v>
      </c>
      <c r="G102">
        <v>79.894999999999996</v>
      </c>
      <c r="H102">
        <f t="shared" si="11"/>
        <v>1419.9998794225864</v>
      </c>
      <c r="I102">
        <v>5.8074399999999997E-3</v>
      </c>
      <c r="J102">
        <v>565</v>
      </c>
      <c r="K102">
        <f t="shared" si="8"/>
        <v>0.33615538450102961</v>
      </c>
      <c r="L102">
        <f t="shared" si="9"/>
        <v>964.22802302660477</v>
      </c>
    </row>
    <row r="103" spans="1:12" x14ac:dyDescent="0.6">
      <c r="A103">
        <v>102</v>
      </c>
      <c r="B103" s="1" t="s">
        <v>22</v>
      </c>
      <c r="C103" t="s">
        <v>10</v>
      </c>
      <c r="D103">
        <v>150</v>
      </c>
      <c r="F103">
        <v>98</v>
      </c>
      <c r="G103">
        <v>82.724999999999994</v>
      </c>
      <c r="H103">
        <f t="shared" si="11"/>
        <v>779.11497809026866</v>
      </c>
      <c r="I103">
        <v>1.2721059E-2</v>
      </c>
      <c r="J103">
        <v>224</v>
      </c>
      <c r="K103">
        <f t="shared" si="8"/>
        <v>0.55920082490826317</v>
      </c>
      <c r="L103">
        <f t="shared" si="9"/>
        <v>426.96810367753244</v>
      </c>
    </row>
    <row r="104" spans="1:12" x14ac:dyDescent="0.6">
      <c r="A104">
        <v>103</v>
      </c>
      <c r="B104" s="1" t="s">
        <v>22</v>
      </c>
      <c r="C104" t="s">
        <v>10</v>
      </c>
      <c r="D104">
        <v>150</v>
      </c>
      <c r="F104">
        <v>98</v>
      </c>
      <c r="G104">
        <v>52.65</v>
      </c>
      <c r="H104">
        <f t="shared" si="11"/>
        <v>779.11497809026866</v>
      </c>
      <c r="I104">
        <v>1.2721059E-2</v>
      </c>
      <c r="J104">
        <v>212</v>
      </c>
      <c r="K104">
        <f t="shared" si="8"/>
        <v>0.48173603222580147</v>
      </c>
      <c r="L104">
        <f t="shared" si="9"/>
        <v>367.82120302904036</v>
      </c>
    </row>
    <row r="105" spans="1:12" x14ac:dyDescent="0.6">
      <c r="A105">
        <v>104</v>
      </c>
      <c r="B105" s="1" t="s">
        <v>22</v>
      </c>
      <c r="C105" t="s">
        <v>10</v>
      </c>
      <c r="D105">
        <v>150</v>
      </c>
      <c r="F105">
        <v>98</v>
      </c>
      <c r="G105">
        <v>25.2</v>
      </c>
      <c r="H105">
        <f t="shared" si="11"/>
        <v>779.11497809026866</v>
      </c>
      <c r="I105">
        <v>1.2721059E-2</v>
      </c>
      <c r="J105">
        <v>169</v>
      </c>
      <c r="K105">
        <f t="shared" si="8"/>
        <v>0.37775467330928003</v>
      </c>
      <c r="L105">
        <f t="shared" si="9"/>
        <v>288.4280375384792</v>
      </c>
    </row>
    <row r="106" spans="1:12" x14ac:dyDescent="0.6">
      <c r="A106">
        <v>105</v>
      </c>
      <c r="B106" s="1" t="s">
        <v>22</v>
      </c>
      <c r="C106" t="s">
        <v>10</v>
      </c>
      <c r="D106">
        <v>150</v>
      </c>
      <c r="F106">
        <v>98</v>
      </c>
      <c r="G106">
        <v>55.05</v>
      </c>
      <c r="H106">
        <f t="shared" si="11"/>
        <v>779.11497809026866</v>
      </c>
      <c r="I106">
        <v>1.2721059E-2</v>
      </c>
      <c r="J106">
        <v>233</v>
      </c>
      <c r="K106">
        <f t="shared" si="8"/>
        <v>0.48887472431848217</v>
      </c>
      <c r="L106">
        <f t="shared" si="9"/>
        <v>373.27182772375477</v>
      </c>
    </row>
    <row r="107" spans="1:12" x14ac:dyDescent="0.6">
      <c r="A107">
        <v>106</v>
      </c>
      <c r="B107" s="1" t="s">
        <v>22</v>
      </c>
      <c r="C107" t="s">
        <v>10</v>
      </c>
      <c r="D107">
        <v>150</v>
      </c>
      <c r="F107">
        <v>98</v>
      </c>
      <c r="G107">
        <v>95.25</v>
      </c>
      <c r="H107">
        <f t="shared" si="11"/>
        <v>779.11497809026866</v>
      </c>
      <c r="I107">
        <v>1.2721059E-2</v>
      </c>
      <c r="J107">
        <v>233</v>
      </c>
      <c r="K107">
        <f t="shared" si="8"/>
        <v>0.58583202922605526</v>
      </c>
      <c r="L107">
        <f t="shared" si="9"/>
        <v>447.30189844273497</v>
      </c>
    </row>
    <row r="108" spans="1:12" x14ac:dyDescent="0.6">
      <c r="A108">
        <v>107</v>
      </c>
      <c r="B108" s="1" t="s">
        <v>22</v>
      </c>
      <c r="C108" t="s">
        <v>10</v>
      </c>
      <c r="D108">
        <v>150</v>
      </c>
      <c r="F108">
        <v>98</v>
      </c>
      <c r="G108">
        <v>56.625</v>
      </c>
      <c r="H108">
        <f t="shared" si="11"/>
        <v>779.11497809026866</v>
      </c>
      <c r="I108">
        <v>1.2721059E-2</v>
      </c>
      <c r="J108">
        <v>319</v>
      </c>
      <c r="K108">
        <f t="shared" si="8"/>
        <v>0.49344684704066416</v>
      </c>
      <c r="L108">
        <f t="shared" si="9"/>
        <v>376.76279283238318</v>
      </c>
    </row>
    <row r="109" spans="1:12" x14ac:dyDescent="0.6">
      <c r="A109">
        <v>108</v>
      </c>
      <c r="B109" s="1" t="s">
        <v>22</v>
      </c>
      <c r="C109" t="s">
        <v>10</v>
      </c>
      <c r="D109">
        <v>150</v>
      </c>
      <c r="F109">
        <v>98</v>
      </c>
      <c r="G109">
        <v>40.875</v>
      </c>
      <c r="H109">
        <f t="shared" si="11"/>
        <v>779.11497809026866</v>
      </c>
      <c r="I109">
        <v>8.7266459999999994E-3</v>
      </c>
      <c r="J109">
        <v>297</v>
      </c>
      <c r="K109">
        <f t="shared" si="8"/>
        <v>0.39130525515759351</v>
      </c>
      <c r="L109">
        <f t="shared" si="9"/>
        <v>298.77434959274115</v>
      </c>
    </row>
    <row r="110" spans="1:12" x14ac:dyDescent="0.6">
      <c r="A110">
        <v>109</v>
      </c>
      <c r="B110" s="1" t="s">
        <v>22</v>
      </c>
      <c r="C110" t="s">
        <v>10</v>
      </c>
      <c r="D110">
        <v>150</v>
      </c>
      <c r="F110">
        <v>98</v>
      </c>
      <c r="G110">
        <v>57</v>
      </c>
      <c r="H110">
        <f t="shared" si="11"/>
        <v>779.11497809026866</v>
      </c>
      <c r="I110">
        <v>1.2466638E-2</v>
      </c>
      <c r="J110">
        <v>341</v>
      </c>
      <c r="K110">
        <f t="shared" si="8"/>
        <v>0.49123689405304305</v>
      </c>
      <c r="L110">
        <f t="shared" si="9"/>
        <v>375.0754215083229</v>
      </c>
    </row>
    <row r="111" spans="1:12" x14ac:dyDescent="0.6">
      <c r="A111">
        <v>110</v>
      </c>
      <c r="B111" s="1" t="s">
        <v>22</v>
      </c>
      <c r="C111" t="s">
        <v>10</v>
      </c>
      <c r="D111">
        <v>150</v>
      </c>
      <c r="F111">
        <v>98</v>
      </c>
      <c r="G111">
        <v>92.25</v>
      </c>
      <c r="H111">
        <f t="shared" si="11"/>
        <v>779.11497809026866</v>
      </c>
      <c r="I111">
        <v>1.2466638E-2</v>
      </c>
      <c r="J111">
        <v>362</v>
      </c>
      <c r="K111">
        <f t="shared" si="8"/>
        <v>0.57582587752606462</v>
      </c>
      <c r="L111">
        <f t="shared" si="9"/>
        <v>439.66187463347893</v>
      </c>
    </row>
    <row r="112" spans="1:12" x14ac:dyDescent="0.6">
      <c r="A112">
        <v>111</v>
      </c>
      <c r="B112" s="1" t="s">
        <v>22</v>
      </c>
      <c r="C112" t="s">
        <v>10</v>
      </c>
      <c r="D112">
        <v>150</v>
      </c>
      <c r="F112">
        <v>98</v>
      </c>
      <c r="G112">
        <v>39.299999999999997</v>
      </c>
      <c r="H112">
        <f t="shared" si="11"/>
        <v>779.11497809026866</v>
      </c>
      <c r="I112">
        <v>1.0266643000000001E-2</v>
      </c>
      <c r="J112">
        <v>286</v>
      </c>
      <c r="K112">
        <f t="shared" si="8"/>
        <v>0.40754533182751668</v>
      </c>
      <c r="L112">
        <f t="shared" si="9"/>
        <v>311.17417883203524</v>
      </c>
    </row>
    <row r="113" spans="1:12" x14ac:dyDescent="0.6">
      <c r="A113">
        <v>112</v>
      </c>
      <c r="B113" s="1" t="s">
        <v>22</v>
      </c>
      <c r="C113" t="s">
        <v>10</v>
      </c>
      <c r="D113">
        <v>150</v>
      </c>
      <c r="F113">
        <v>98</v>
      </c>
      <c r="G113">
        <v>78.974999999999994</v>
      </c>
      <c r="H113">
        <f t="shared" si="11"/>
        <v>779.11497809026866</v>
      </c>
      <c r="I113">
        <v>3.6413909999999999E-3</v>
      </c>
      <c r="J113">
        <v>405</v>
      </c>
      <c r="K113">
        <f t="shared" si="8"/>
        <v>0.36445572988140706</v>
      </c>
      <c r="L113">
        <f t="shared" si="9"/>
        <v>278.27385964139683</v>
      </c>
    </row>
    <row r="114" spans="1:12" x14ac:dyDescent="0.6">
      <c r="A114">
        <v>113</v>
      </c>
      <c r="B114" s="1" t="s">
        <v>22</v>
      </c>
      <c r="C114" t="s">
        <v>10</v>
      </c>
      <c r="D114">
        <v>150</v>
      </c>
      <c r="F114">
        <v>100</v>
      </c>
      <c r="G114">
        <v>52.875</v>
      </c>
      <c r="H114">
        <f t="shared" si="11"/>
        <v>785.39816339744823</v>
      </c>
      <c r="I114">
        <v>3.6413909999999999E-3</v>
      </c>
      <c r="J114">
        <v>341</v>
      </c>
      <c r="K114">
        <f t="shared" si="8"/>
        <v>0.31713957041772362</v>
      </c>
      <c r="L114">
        <f t="shared" si="9"/>
        <v>249.08083614673581</v>
      </c>
    </row>
    <row r="115" spans="1:12" x14ac:dyDescent="0.6">
      <c r="A115">
        <v>114</v>
      </c>
      <c r="B115" s="1" t="s">
        <v>22</v>
      </c>
      <c r="C115" t="s">
        <v>10</v>
      </c>
      <c r="D115">
        <v>150</v>
      </c>
      <c r="F115">
        <v>100</v>
      </c>
      <c r="G115">
        <v>30.824999999999999</v>
      </c>
      <c r="H115">
        <f t="shared" si="11"/>
        <v>785.39816339744823</v>
      </c>
      <c r="I115">
        <v>3.4999919999999999E-3</v>
      </c>
      <c r="J115">
        <v>244</v>
      </c>
      <c r="K115">
        <f t="shared" si="8"/>
        <v>0.26196286979662675</v>
      </c>
      <c r="L115">
        <f t="shared" si="9"/>
        <v>205.74515681659551</v>
      </c>
    </row>
    <row r="116" spans="1:12" x14ac:dyDescent="0.6">
      <c r="A116">
        <v>115</v>
      </c>
      <c r="B116" s="1" t="s">
        <v>22</v>
      </c>
      <c r="C116" t="s">
        <v>10</v>
      </c>
      <c r="D116">
        <v>150</v>
      </c>
      <c r="F116">
        <v>100</v>
      </c>
      <c r="G116">
        <v>35.25</v>
      </c>
      <c r="H116">
        <f t="shared" si="11"/>
        <v>785.39816339744823</v>
      </c>
      <c r="I116">
        <v>8.0347720000000008E-3</v>
      </c>
      <c r="J116">
        <v>294</v>
      </c>
      <c r="K116">
        <f t="shared" si="8"/>
        <v>0.36021631431795753</v>
      </c>
      <c r="L116">
        <f t="shared" si="9"/>
        <v>282.91323169112178</v>
      </c>
    </row>
    <row r="117" spans="1:12" x14ac:dyDescent="0.6">
      <c r="A117">
        <v>116</v>
      </c>
      <c r="B117" s="1" t="s">
        <v>22</v>
      </c>
      <c r="C117" t="s">
        <v>10</v>
      </c>
      <c r="D117">
        <v>150</v>
      </c>
      <c r="F117">
        <v>102</v>
      </c>
      <c r="G117">
        <v>31.574999999999999</v>
      </c>
      <c r="H117">
        <f t="shared" si="11"/>
        <v>791.68134870462791</v>
      </c>
      <c r="I117">
        <v>8.2892199999999999E-3</v>
      </c>
      <c r="J117">
        <v>227</v>
      </c>
      <c r="K117">
        <f t="shared" si="8"/>
        <v>0.34866981874447261</v>
      </c>
      <c r="L117">
        <f t="shared" si="9"/>
        <v>281.55610020334666</v>
      </c>
    </row>
    <row r="118" spans="1:12" x14ac:dyDescent="0.6">
      <c r="A118">
        <v>117</v>
      </c>
      <c r="B118" s="1" t="s">
        <v>23</v>
      </c>
      <c r="C118" t="s">
        <v>10</v>
      </c>
      <c r="D118">
        <v>100</v>
      </c>
      <c r="F118">
        <v>55</v>
      </c>
      <c r="G118">
        <v>38.950000000000003</v>
      </c>
      <c r="H118">
        <f t="shared" si="11"/>
        <v>486.94686130641793</v>
      </c>
      <c r="I118">
        <v>7.5701309999999999E-3</v>
      </c>
      <c r="J118">
        <v>65</v>
      </c>
      <c r="K118">
        <f t="shared" si="8"/>
        <v>0.44464303063645672</v>
      </c>
      <c r="L118">
        <f t="shared" si="9"/>
        <v>119.08464049360781</v>
      </c>
    </row>
    <row r="119" spans="1:12" x14ac:dyDescent="0.6">
      <c r="A119">
        <v>118</v>
      </c>
      <c r="B119" s="1" t="s">
        <v>14</v>
      </c>
      <c r="C119" t="s">
        <v>10</v>
      </c>
      <c r="D119">
        <v>100</v>
      </c>
      <c r="F119">
        <v>55</v>
      </c>
      <c r="G119">
        <v>50.255000000000003</v>
      </c>
      <c r="H119">
        <f t="shared" si="11"/>
        <v>486.94686130641793</v>
      </c>
      <c r="I119">
        <v>8.4680250000000006E-3</v>
      </c>
      <c r="J119">
        <v>61</v>
      </c>
      <c r="K119">
        <f t="shared" si="8"/>
        <v>0.50187685942084892</v>
      </c>
      <c r="L119">
        <f t="shared" si="9"/>
        <v>134.41304880151759</v>
      </c>
    </row>
    <row r="120" spans="1:12" x14ac:dyDescent="0.6">
      <c r="A120">
        <v>119</v>
      </c>
      <c r="B120" s="1" t="s">
        <v>14</v>
      </c>
      <c r="C120" t="s">
        <v>10</v>
      </c>
      <c r="D120">
        <v>100</v>
      </c>
      <c r="F120">
        <v>55</v>
      </c>
      <c r="G120">
        <v>38.950000000000003</v>
      </c>
      <c r="H120">
        <f t="shared" si="11"/>
        <v>486.94686130641793</v>
      </c>
      <c r="I120">
        <v>8.5603610000000007E-3</v>
      </c>
      <c r="J120">
        <v>60</v>
      </c>
      <c r="K120">
        <f t="shared" si="8"/>
        <v>0.46305199060622976</v>
      </c>
      <c r="L120">
        <f t="shared" si="9"/>
        <v>124.01494239606588</v>
      </c>
    </row>
    <row r="121" spans="1:12" x14ac:dyDescent="0.6">
      <c r="A121">
        <v>120</v>
      </c>
      <c r="B121" s="2" t="s">
        <v>65</v>
      </c>
      <c r="C121" t="s">
        <v>7</v>
      </c>
      <c r="D121">
        <v>160</v>
      </c>
      <c r="F121">
        <v>98</v>
      </c>
      <c r="G121">
        <v>31.35</v>
      </c>
      <c r="H121">
        <f t="shared" ref="H121:H123" si="12">4*D121+2*F121</f>
        <v>836</v>
      </c>
      <c r="I121">
        <v>8.7512260000000008E-3</v>
      </c>
      <c r="J121">
        <v>210</v>
      </c>
      <c r="K121">
        <f t="shared" si="8"/>
        <v>0.35883609022197771</v>
      </c>
      <c r="L121">
        <f t="shared" si="9"/>
        <v>293.98723199706188</v>
      </c>
    </row>
    <row r="122" spans="1:12" x14ac:dyDescent="0.6">
      <c r="A122">
        <v>121</v>
      </c>
      <c r="B122" s="2" t="s">
        <v>65</v>
      </c>
      <c r="C122" t="s">
        <v>7</v>
      </c>
      <c r="D122">
        <v>200</v>
      </c>
      <c r="F122">
        <v>95</v>
      </c>
      <c r="G122">
        <v>33.344999999999999</v>
      </c>
      <c r="H122">
        <f t="shared" si="12"/>
        <v>990</v>
      </c>
      <c r="I122">
        <v>8.5603610000000007E-3</v>
      </c>
      <c r="J122">
        <v>220</v>
      </c>
      <c r="K122">
        <f t="shared" si="8"/>
        <v>0.36731048789601001</v>
      </c>
      <c r="L122">
        <f t="shared" si="9"/>
        <v>345.45551386619741</v>
      </c>
    </row>
    <row r="123" spans="1:12" x14ac:dyDescent="0.6">
      <c r="A123">
        <v>122</v>
      </c>
      <c r="B123" s="2" t="s">
        <v>65</v>
      </c>
      <c r="C123" t="s">
        <v>7</v>
      </c>
      <c r="D123">
        <v>320</v>
      </c>
      <c r="F123">
        <v>104</v>
      </c>
      <c r="G123">
        <v>34.96</v>
      </c>
      <c r="H123">
        <f t="shared" si="12"/>
        <v>1488</v>
      </c>
      <c r="I123">
        <v>7.9534010000000006E-3</v>
      </c>
      <c r="J123">
        <v>280</v>
      </c>
      <c r="K123">
        <f t="shared" si="8"/>
        <v>0.35342690899624563</v>
      </c>
      <c r="L123">
        <f t="shared" si="9"/>
        <v>546.93521020987009</v>
      </c>
    </row>
    <row r="124" spans="1:12" x14ac:dyDescent="0.6">
      <c r="A124">
        <v>123</v>
      </c>
      <c r="B124" s="2" t="s">
        <v>65</v>
      </c>
      <c r="C124" t="s">
        <v>12</v>
      </c>
      <c r="D124">
        <v>160</v>
      </c>
      <c r="E124">
        <v>240</v>
      </c>
      <c r="F124">
        <v>93</v>
      </c>
      <c r="G124">
        <v>28.024999999999999</v>
      </c>
      <c r="H124">
        <f t="shared" ref="H124:H129" si="13">2*D124+2*E124+2*F124</f>
        <v>986</v>
      </c>
      <c r="I124">
        <v>1.4622435E-2</v>
      </c>
      <c r="J124">
        <v>220</v>
      </c>
      <c r="K124">
        <f t="shared" si="8"/>
        <v>0.41677991054224095</v>
      </c>
      <c r="L124">
        <f t="shared" si="9"/>
        <v>382.17884236902415</v>
      </c>
    </row>
    <row r="125" spans="1:12" x14ac:dyDescent="0.6">
      <c r="A125">
        <v>124</v>
      </c>
      <c r="B125" s="2" t="s">
        <v>65</v>
      </c>
      <c r="C125" t="s">
        <v>12</v>
      </c>
      <c r="D125">
        <v>133</v>
      </c>
      <c r="E125">
        <v>267</v>
      </c>
      <c r="F125">
        <v>92</v>
      </c>
      <c r="G125">
        <v>33.725000000000001</v>
      </c>
      <c r="H125">
        <f t="shared" si="13"/>
        <v>984</v>
      </c>
      <c r="I125">
        <v>1.4622435E-2</v>
      </c>
      <c r="J125">
        <v>215</v>
      </c>
      <c r="K125">
        <f t="shared" si="8"/>
        <v>0.44462129405859979</v>
      </c>
      <c r="L125">
        <f t="shared" si="9"/>
        <v>402.50676508536924</v>
      </c>
    </row>
    <row r="126" spans="1:12" x14ac:dyDescent="0.6">
      <c r="A126">
        <v>125</v>
      </c>
      <c r="B126" s="2" t="s">
        <v>65</v>
      </c>
      <c r="C126" t="s">
        <v>12</v>
      </c>
      <c r="D126">
        <v>100</v>
      </c>
      <c r="E126">
        <v>300</v>
      </c>
      <c r="F126">
        <v>90</v>
      </c>
      <c r="G126">
        <v>28.31</v>
      </c>
      <c r="H126">
        <f t="shared" si="13"/>
        <v>980</v>
      </c>
      <c r="I126">
        <v>1.5030435E-2</v>
      </c>
      <c r="J126">
        <v>210</v>
      </c>
      <c r="K126">
        <f t="shared" si="8"/>
        <v>0.42657984734775944</v>
      </c>
      <c r="L126">
        <f t="shared" si="9"/>
        <v>376.24342536072385</v>
      </c>
    </row>
    <row r="127" spans="1:12" x14ac:dyDescent="0.6">
      <c r="A127">
        <v>126</v>
      </c>
      <c r="B127" s="2" t="s">
        <v>65</v>
      </c>
      <c r="C127" t="s">
        <v>12</v>
      </c>
      <c r="D127">
        <v>80</v>
      </c>
      <c r="E127">
        <v>325</v>
      </c>
      <c r="F127">
        <v>92</v>
      </c>
      <c r="G127">
        <v>27.388500000000001</v>
      </c>
      <c r="H127">
        <f t="shared" si="13"/>
        <v>994</v>
      </c>
      <c r="I127">
        <v>1.4866786E-2</v>
      </c>
      <c r="J127">
        <v>176</v>
      </c>
      <c r="K127">
        <f t="shared" si="8"/>
        <v>0.41738686002532199</v>
      </c>
      <c r="L127">
        <f t="shared" si="9"/>
        <v>381.69193575595642</v>
      </c>
    </row>
    <row r="128" spans="1:12" x14ac:dyDescent="0.6">
      <c r="A128">
        <v>127</v>
      </c>
      <c r="B128" s="2" t="s">
        <v>65</v>
      </c>
      <c r="C128" t="s">
        <v>12</v>
      </c>
      <c r="D128">
        <v>80</v>
      </c>
      <c r="E128">
        <v>330</v>
      </c>
      <c r="F128">
        <v>99</v>
      </c>
      <c r="G128">
        <v>34.200000000000003</v>
      </c>
      <c r="H128">
        <f t="shared" si="13"/>
        <v>1018</v>
      </c>
      <c r="I128">
        <v>1.4866786E-2</v>
      </c>
      <c r="J128">
        <v>225</v>
      </c>
      <c r="K128">
        <f t="shared" si="8"/>
        <v>0.43838959194112337</v>
      </c>
      <c r="L128">
        <f t="shared" si="9"/>
        <v>441.81779855010296</v>
      </c>
    </row>
    <row r="129" spans="1:12" x14ac:dyDescent="0.6">
      <c r="A129">
        <v>128</v>
      </c>
      <c r="B129" s="2" t="s">
        <v>65</v>
      </c>
      <c r="C129" t="s">
        <v>12</v>
      </c>
      <c r="D129">
        <v>160</v>
      </c>
      <c r="E129">
        <v>160</v>
      </c>
      <c r="F129">
        <v>99</v>
      </c>
      <c r="G129">
        <v>25.84</v>
      </c>
      <c r="H129">
        <f t="shared" si="13"/>
        <v>838</v>
      </c>
      <c r="I129">
        <v>5.3049519999999999E-3</v>
      </c>
      <c r="J129">
        <v>260</v>
      </c>
      <c r="K129">
        <f t="shared" si="8"/>
        <v>0.28444702081820106</v>
      </c>
      <c r="L129">
        <f t="shared" si="9"/>
        <v>235.98293741119596</v>
      </c>
    </row>
    <row r="130" spans="1:12" x14ac:dyDescent="0.6">
      <c r="A130">
        <v>129</v>
      </c>
      <c r="B130" s="2" t="s">
        <v>65</v>
      </c>
      <c r="C130" t="s">
        <v>7</v>
      </c>
      <c r="D130">
        <v>320</v>
      </c>
      <c r="F130">
        <v>99</v>
      </c>
      <c r="G130">
        <v>31.16</v>
      </c>
      <c r="H130">
        <f>4*D130+2*F130</f>
        <v>1478</v>
      </c>
      <c r="I130">
        <v>3.528294E-3</v>
      </c>
      <c r="J130">
        <v>360</v>
      </c>
      <c r="K130">
        <f t="shared" si="8"/>
        <v>0.26447432114979402</v>
      </c>
      <c r="L130">
        <f t="shared" si="9"/>
        <v>386.98411619280159</v>
      </c>
    </row>
    <row r="131" spans="1:12" x14ac:dyDescent="0.6">
      <c r="A131">
        <v>130</v>
      </c>
      <c r="B131" s="2" t="s">
        <v>65</v>
      </c>
      <c r="C131" t="s">
        <v>12</v>
      </c>
      <c r="D131">
        <v>133</v>
      </c>
      <c r="E131">
        <v>267</v>
      </c>
      <c r="F131">
        <v>91</v>
      </c>
      <c r="G131">
        <v>21.184999999999999</v>
      </c>
      <c r="H131">
        <f t="shared" ref="H131:H133" si="14">2*D131+2*E131+2*F131</f>
        <v>982</v>
      </c>
      <c r="I131">
        <v>5.3049519999999999E-3</v>
      </c>
      <c r="J131">
        <v>252</v>
      </c>
      <c r="K131">
        <f t="shared" ref="K131:K194" si="15">(I131*G131*16/F131)^0.33</f>
        <v>0.2739114650062765</v>
      </c>
      <c r="L131">
        <f t="shared" ref="L131:L194" si="16">K131*H131*F131/100</f>
        <v>244.7727633589088</v>
      </c>
    </row>
    <row r="132" spans="1:12" x14ac:dyDescent="0.6">
      <c r="A132">
        <v>131</v>
      </c>
      <c r="B132" s="2" t="s">
        <v>65</v>
      </c>
      <c r="C132" t="s">
        <v>12</v>
      </c>
      <c r="D132">
        <v>100</v>
      </c>
      <c r="E132">
        <v>300</v>
      </c>
      <c r="F132">
        <v>92</v>
      </c>
      <c r="G132">
        <v>19.475000000000001</v>
      </c>
      <c r="H132">
        <f t="shared" si="14"/>
        <v>984</v>
      </c>
      <c r="I132">
        <v>5.3049519999999999E-3</v>
      </c>
      <c r="J132">
        <v>220</v>
      </c>
      <c r="K132">
        <f t="shared" si="15"/>
        <v>0.26544958854934253</v>
      </c>
      <c r="L132">
        <f t="shared" si="16"/>
        <v>240.30620352194876</v>
      </c>
    </row>
    <row r="133" spans="1:12" x14ac:dyDescent="0.6">
      <c r="A133">
        <v>132</v>
      </c>
      <c r="B133" s="2" t="s">
        <v>65</v>
      </c>
      <c r="C133" t="s">
        <v>12</v>
      </c>
      <c r="D133">
        <v>80</v>
      </c>
      <c r="E133">
        <v>320</v>
      </c>
      <c r="F133">
        <v>92</v>
      </c>
      <c r="G133">
        <v>17.385000000000002</v>
      </c>
      <c r="H133">
        <f t="shared" si="14"/>
        <v>984</v>
      </c>
      <c r="I133">
        <v>1.4874965E-2</v>
      </c>
      <c r="J133">
        <v>210</v>
      </c>
      <c r="K133">
        <f t="shared" si="15"/>
        <v>0.35931696683913383</v>
      </c>
      <c r="L133">
        <f t="shared" si="16"/>
        <v>325.28246374013105</v>
      </c>
    </row>
    <row r="134" spans="1:12" x14ac:dyDescent="0.6">
      <c r="A134">
        <v>133</v>
      </c>
      <c r="B134" s="2" t="s">
        <v>66</v>
      </c>
      <c r="C134" t="s">
        <v>7</v>
      </c>
      <c r="D134">
        <v>150</v>
      </c>
      <c r="F134">
        <v>100</v>
      </c>
      <c r="G134">
        <v>33.15</v>
      </c>
      <c r="H134">
        <f t="shared" ref="H134:H175" si="17">4*D134+2*F134</f>
        <v>800</v>
      </c>
      <c r="I134">
        <v>1.7453293000000002E-2</v>
      </c>
      <c r="J134">
        <v>174</v>
      </c>
      <c r="K134">
        <f t="shared" si="15"/>
        <v>0.45597254667729958</v>
      </c>
      <c r="L134">
        <f t="shared" si="16"/>
        <v>364.77803734183965</v>
      </c>
    </row>
    <row r="135" spans="1:12" x14ac:dyDescent="0.6">
      <c r="A135">
        <v>134</v>
      </c>
      <c r="B135" s="2" t="s">
        <v>66</v>
      </c>
      <c r="C135" t="s">
        <v>7</v>
      </c>
      <c r="D135">
        <v>150</v>
      </c>
      <c r="F135">
        <v>100</v>
      </c>
      <c r="G135">
        <v>32.340000000000003</v>
      </c>
      <c r="H135">
        <f t="shared" si="17"/>
        <v>800</v>
      </c>
      <c r="I135">
        <v>1.4874965E-2</v>
      </c>
      <c r="J135">
        <v>137</v>
      </c>
      <c r="K135">
        <f t="shared" si="15"/>
        <v>0.42902664358197934</v>
      </c>
      <c r="L135">
        <f t="shared" si="16"/>
        <v>343.22131486558351</v>
      </c>
    </row>
    <row r="136" spans="1:12" x14ac:dyDescent="0.6">
      <c r="A136">
        <v>135</v>
      </c>
      <c r="B136" s="2" t="s">
        <v>66</v>
      </c>
      <c r="C136" t="s">
        <v>7</v>
      </c>
      <c r="D136">
        <v>100</v>
      </c>
      <c r="F136">
        <v>100</v>
      </c>
      <c r="G136">
        <v>34.372500000000002</v>
      </c>
      <c r="H136">
        <f t="shared" si="17"/>
        <v>600</v>
      </c>
      <c r="I136">
        <v>2.5499939999999999E-2</v>
      </c>
      <c r="J136">
        <v>150</v>
      </c>
      <c r="K136">
        <f t="shared" si="15"/>
        <v>0.52295845200001123</v>
      </c>
      <c r="L136">
        <f t="shared" si="16"/>
        <v>313.77507120000672</v>
      </c>
    </row>
    <row r="137" spans="1:12" x14ac:dyDescent="0.6">
      <c r="A137">
        <v>136</v>
      </c>
      <c r="B137" s="2" t="s">
        <v>66</v>
      </c>
      <c r="C137" t="s">
        <v>7</v>
      </c>
      <c r="D137">
        <v>200</v>
      </c>
      <c r="F137">
        <v>100</v>
      </c>
      <c r="G137">
        <v>34.125</v>
      </c>
      <c r="H137">
        <f t="shared" si="17"/>
        <v>1000</v>
      </c>
      <c r="I137">
        <v>1.7453293000000002E-2</v>
      </c>
      <c r="J137">
        <v>191</v>
      </c>
      <c r="K137">
        <f t="shared" si="15"/>
        <v>0.46035525744858163</v>
      </c>
      <c r="L137">
        <f t="shared" si="16"/>
        <v>460.35525744858171</v>
      </c>
    </row>
    <row r="138" spans="1:12" x14ac:dyDescent="0.6">
      <c r="A138">
        <v>137</v>
      </c>
      <c r="B138" s="2" t="s">
        <v>64</v>
      </c>
      <c r="C138" t="s">
        <v>7</v>
      </c>
      <c r="D138">
        <v>200</v>
      </c>
      <c r="F138">
        <v>275</v>
      </c>
      <c r="G138">
        <v>64.139250000000004</v>
      </c>
      <c r="H138">
        <f t="shared" si="17"/>
        <v>1350</v>
      </c>
      <c r="I138">
        <v>1.7453293000000002E-2</v>
      </c>
      <c r="J138">
        <v>2050</v>
      </c>
      <c r="K138">
        <f t="shared" si="15"/>
        <v>0.40602261135475892</v>
      </c>
      <c r="L138">
        <f t="shared" si="16"/>
        <v>1507.3589446545427</v>
      </c>
    </row>
    <row r="139" spans="1:12" x14ac:dyDescent="0.6">
      <c r="A139">
        <v>138</v>
      </c>
      <c r="B139" s="2" t="s">
        <v>64</v>
      </c>
      <c r="C139" t="s">
        <v>7</v>
      </c>
      <c r="D139">
        <v>150</v>
      </c>
      <c r="F139">
        <v>200</v>
      </c>
      <c r="G139">
        <v>70.024500000000003</v>
      </c>
      <c r="H139">
        <f t="shared" si="17"/>
        <v>1000</v>
      </c>
      <c r="I139">
        <v>2.6179938999999999E-2</v>
      </c>
      <c r="J139">
        <v>1200</v>
      </c>
      <c r="K139">
        <f t="shared" si="15"/>
        <v>0.53074003549155557</v>
      </c>
      <c r="L139">
        <f t="shared" si="16"/>
        <v>1061.4800709831111</v>
      </c>
    </row>
    <row r="140" spans="1:12" x14ac:dyDescent="0.6">
      <c r="A140">
        <v>139</v>
      </c>
      <c r="B140" s="2" t="s">
        <v>64</v>
      </c>
      <c r="C140" t="s">
        <v>7</v>
      </c>
      <c r="D140">
        <v>200</v>
      </c>
      <c r="F140">
        <v>275</v>
      </c>
      <c r="G140">
        <v>83.490750000000006</v>
      </c>
      <c r="H140">
        <f t="shared" si="17"/>
        <v>1350</v>
      </c>
      <c r="I140">
        <v>2.6179938999999999E-2</v>
      </c>
      <c r="J140">
        <v>2250</v>
      </c>
      <c r="K140">
        <f t="shared" si="15"/>
        <v>0.50634918219524616</v>
      </c>
      <c r="L140">
        <f t="shared" si="16"/>
        <v>1879.8213388998513</v>
      </c>
    </row>
    <row r="141" spans="1:12" x14ac:dyDescent="0.6">
      <c r="A141">
        <v>140</v>
      </c>
      <c r="B141" s="2" t="s">
        <v>64</v>
      </c>
      <c r="C141" t="s">
        <v>7</v>
      </c>
      <c r="D141">
        <v>200</v>
      </c>
      <c r="F141">
        <v>275</v>
      </c>
      <c r="G141">
        <v>89.675250000000005</v>
      </c>
      <c r="H141">
        <f t="shared" si="17"/>
        <v>1350</v>
      </c>
      <c r="I141">
        <v>2.6179938999999999E-2</v>
      </c>
      <c r="J141">
        <v>2400</v>
      </c>
      <c r="K141">
        <f t="shared" si="15"/>
        <v>0.51843153406739373</v>
      </c>
      <c r="L141">
        <f t="shared" si="16"/>
        <v>1924.6770702251993</v>
      </c>
    </row>
    <row r="142" spans="1:12" x14ac:dyDescent="0.6">
      <c r="A142">
        <v>141</v>
      </c>
      <c r="B142" s="2" t="s">
        <v>64</v>
      </c>
      <c r="C142" t="s">
        <v>7</v>
      </c>
      <c r="D142">
        <v>150</v>
      </c>
      <c r="F142">
        <v>200</v>
      </c>
      <c r="G142">
        <v>87.979500000000002</v>
      </c>
      <c r="H142">
        <f t="shared" si="17"/>
        <v>1000</v>
      </c>
      <c r="I142">
        <v>1.8359957E-2</v>
      </c>
      <c r="J142">
        <v>1100</v>
      </c>
      <c r="K142">
        <f t="shared" si="15"/>
        <v>0.50902983173778737</v>
      </c>
      <c r="L142">
        <f t="shared" si="16"/>
        <v>1018.0596634755748</v>
      </c>
    </row>
    <row r="143" spans="1:12" x14ac:dyDescent="0.6">
      <c r="A143">
        <v>142</v>
      </c>
      <c r="B143" s="2" t="s">
        <v>64</v>
      </c>
      <c r="C143" t="s">
        <v>7</v>
      </c>
      <c r="D143">
        <v>150</v>
      </c>
      <c r="F143">
        <v>200</v>
      </c>
      <c r="G143">
        <v>86.483249999999998</v>
      </c>
      <c r="H143">
        <f t="shared" si="17"/>
        <v>1000</v>
      </c>
      <c r="I143">
        <v>1.4874965E-2</v>
      </c>
      <c r="J143">
        <v>1300</v>
      </c>
      <c r="K143">
        <f t="shared" si="15"/>
        <v>0.47219101686926596</v>
      </c>
      <c r="L143">
        <f t="shared" si="16"/>
        <v>944.38203373853185</v>
      </c>
    </row>
    <row r="144" spans="1:12" x14ac:dyDescent="0.6">
      <c r="A144">
        <v>143</v>
      </c>
      <c r="B144" s="2" t="s">
        <v>64</v>
      </c>
      <c r="C144" t="s">
        <v>7</v>
      </c>
      <c r="D144">
        <v>150</v>
      </c>
      <c r="F144">
        <v>200</v>
      </c>
      <c r="G144">
        <v>89.276250000000005</v>
      </c>
      <c r="H144">
        <f t="shared" si="17"/>
        <v>1000</v>
      </c>
      <c r="I144">
        <v>1.7453293000000002E-2</v>
      </c>
      <c r="J144">
        <v>1450</v>
      </c>
      <c r="K144">
        <f t="shared" si="15"/>
        <v>0.50301633782836963</v>
      </c>
      <c r="L144">
        <f t="shared" si="16"/>
        <v>1006.0326756567391</v>
      </c>
    </row>
    <row r="145" spans="1:12" x14ac:dyDescent="0.6">
      <c r="A145">
        <v>144</v>
      </c>
      <c r="B145" s="2" t="s">
        <v>64</v>
      </c>
      <c r="C145" t="s">
        <v>7</v>
      </c>
      <c r="D145">
        <v>150</v>
      </c>
      <c r="F145">
        <v>200</v>
      </c>
      <c r="G145">
        <v>80.099249999999998</v>
      </c>
      <c r="H145">
        <f t="shared" si="17"/>
        <v>1000</v>
      </c>
      <c r="I145">
        <v>2.6179938999999999E-2</v>
      </c>
      <c r="J145">
        <v>1250</v>
      </c>
      <c r="K145">
        <f t="shared" si="15"/>
        <v>0.55481313218740336</v>
      </c>
      <c r="L145">
        <f t="shared" si="16"/>
        <v>1109.6262643748066</v>
      </c>
    </row>
    <row r="146" spans="1:12" x14ac:dyDescent="0.6">
      <c r="A146">
        <v>145</v>
      </c>
      <c r="B146" s="2" t="s">
        <v>64</v>
      </c>
      <c r="C146" t="s">
        <v>7</v>
      </c>
      <c r="D146">
        <v>150</v>
      </c>
      <c r="F146">
        <v>200</v>
      </c>
      <c r="G146">
        <v>97.754999999999995</v>
      </c>
      <c r="H146">
        <f t="shared" si="17"/>
        <v>1000</v>
      </c>
      <c r="I146">
        <v>4.9894270000000003E-3</v>
      </c>
      <c r="J146">
        <v>1450</v>
      </c>
      <c r="K146">
        <f t="shared" si="15"/>
        <v>0.34286431079381308</v>
      </c>
      <c r="L146">
        <f t="shared" si="16"/>
        <v>685.72862158762621</v>
      </c>
    </row>
    <row r="147" spans="1:12" x14ac:dyDescent="0.6">
      <c r="A147">
        <v>146</v>
      </c>
      <c r="B147" s="2" t="s">
        <v>64</v>
      </c>
      <c r="C147" t="s">
        <v>7</v>
      </c>
      <c r="D147">
        <v>100</v>
      </c>
      <c r="F147">
        <v>88</v>
      </c>
      <c r="G147">
        <v>84.887249999999995</v>
      </c>
      <c r="H147">
        <f t="shared" si="17"/>
        <v>576</v>
      </c>
      <c r="I147">
        <v>6.2484419999999999E-3</v>
      </c>
      <c r="J147">
        <v>330</v>
      </c>
      <c r="K147">
        <f t="shared" si="15"/>
        <v>0.46217132960194052</v>
      </c>
      <c r="L147">
        <f t="shared" si="16"/>
        <v>234.26540354863158</v>
      </c>
    </row>
    <row r="148" spans="1:12" x14ac:dyDescent="0.6">
      <c r="A148">
        <v>147</v>
      </c>
      <c r="B148" s="2" t="s">
        <v>64</v>
      </c>
      <c r="C148" t="s">
        <v>7</v>
      </c>
      <c r="D148">
        <v>200</v>
      </c>
      <c r="F148">
        <v>275</v>
      </c>
      <c r="G148">
        <v>111.72</v>
      </c>
      <c r="H148">
        <f t="shared" si="17"/>
        <v>1350</v>
      </c>
      <c r="I148">
        <v>5.3615340000000003E-3</v>
      </c>
      <c r="J148">
        <v>2450</v>
      </c>
      <c r="K148">
        <f t="shared" si="15"/>
        <v>0.33031508101022367</v>
      </c>
      <c r="L148">
        <f t="shared" si="16"/>
        <v>1226.2947382504553</v>
      </c>
    </row>
    <row r="149" spans="1:12" x14ac:dyDescent="0.6">
      <c r="A149">
        <v>148</v>
      </c>
      <c r="B149" s="2" t="s">
        <v>64</v>
      </c>
      <c r="C149" t="s">
        <v>7</v>
      </c>
      <c r="D149">
        <v>150</v>
      </c>
      <c r="F149">
        <v>200</v>
      </c>
      <c r="G149">
        <v>118.7025</v>
      </c>
      <c r="H149">
        <f t="shared" si="17"/>
        <v>1000</v>
      </c>
      <c r="I149">
        <v>5.3615340000000003E-3</v>
      </c>
      <c r="J149">
        <v>1400</v>
      </c>
      <c r="K149">
        <f t="shared" si="15"/>
        <v>0.37433190348599593</v>
      </c>
      <c r="L149">
        <f t="shared" si="16"/>
        <v>748.6638069719919</v>
      </c>
    </row>
    <row r="150" spans="1:12" x14ac:dyDescent="0.6">
      <c r="A150">
        <v>149</v>
      </c>
      <c r="B150" s="2" t="s">
        <v>64</v>
      </c>
      <c r="C150" t="s">
        <v>7</v>
      </c>
      <c r="D150">
        <v>150</v>
      </c>
      <c r="F150">
        <v>200</v>
      </c>
      <c r="G150">
        <v>107.82975</v>
      </c>
      <c r="H150">
        <f t="shared" si="17"/>
        <v>1000</v>
      </c>
      <c r="I150">
        <v>5.3615340000000003E-3</v>
      </c>
      <c r="J150">
        <v>1550</v>
      </c>
      <c r="K150">
        <f t="shared" si="15"/>
        <v>0.36265095411268872</v>
      </c>
      <c r="L150">
        <f t="shared" si="16"/>
        <v>725.30190822537736</v>
      </c>
    </row>
    <row r="151" spans="1:12" x14ac:dyDescent="0.6">
      <c r="A151">
        <v>150</v>
      </c>
      <c r="B151" s="2" t="s">
        <v>67</v>
      </c>
      <c r="C151" t="s">
        <v>7</v>
      </c>
      <c r="D151">
        <v>200</v>
      </c>
      <c r="F151">
        <v>134</v>
      </c>
      <c r="G151">
        <v>31.54</v>
      </c>
      <c r="H151">
        <f t="shared" si="17"/>
        <v>1068</v>
      </c>
      <c r="I151">
        <v>5.3615340000000003E-3</v>
      </c>
      <c r="J151">
        <v>257</v>
      </c>
      <c r="K151">
        <f t="shared" si="15"/>
        <v>0.2758701807535901</v>
      </c>
      <c r="L151">
        <f t="shared" si="16"/>
        <v>394.80333308007789</v>
      </c>
    </row>
    <row r="152" spans="1:12" x14ac:dyDescent="0.6">
      <c r="A152">
        <v>151</v>
      </c>
      <c r="B152" s="2" t="s">
        <v>67</v>
      </c>
      <c r="C152" t="s">
        <v>7</v>
      </c>
      <c r="D152">
        <v>200</v>
      </c>
      <c r="F152">
        <v>107</v>
      </c>
      <c r="G152">
        <v>33.82</v>
      </c>
      <c r="H152">
        <f t="shared" si="17"/>
        <v>1014</v>
      </c>
      <c r="I152">
        <v>4.9260750000000002E-3</v>
      </c>
      <c r="J152">
        <v>264</v>
      </c>
      <c r="K152">
        <f t="shared" si="15"/>
        <v>0.29567565885792985</v>
      </c>
      <c r="L152">
        <f t="shared" si="16"/>
        <v>320.80217634767672</v>
      </c>
    </row>
    <row r="153" spans="1:12" x14ac:dyDescent="0.6">
      <c r="A153">
        <v>152</v>
      </c>
      <c r="B153" s="2" t="s">
        <v>67</v>
      </c>
      <c r="C153" t="s">
        <v>7</v>
      </c>
      <c r="D153">
        <v>200</v>
      </c>
      <c r="F153">
        <v>124.7</v>
      </c>
      <c r="G153">
        <v>24.7</v>
      </c>
      <c r="H153">
        <f t="shared" si="17"/>
        <v>1049.4000000000001</v>
      </c>
      <c r="I153">
        <v>8.4452620000000003E-3</v>
      </c>
      <c r="J153">
        <v>258</v>
      </c>
      <c r="K153">
        <f t="shared" si="15"/>
        <v>0.30275825346330815</v>
      </c>
      <c r="L153">
        <f t="shared" si="16"/>
        <v>396.18999544694134</v>
      </c>
    </row>
    <row r="154" spans="1:12" x14ac:dyDescent="0.6">
      <c r="A154">
        <v>153</v>
      </c>
      <c r="B154" s="2" t="s">
        <v>67</v>
      </c>
      <c r="C154" t="s">
        <v>7</v>
      </c>
      <c r="D154">
        <v>200</v>
      </c>
      <c r="F154">
        <v>124.7</v>
      </c>
      <c r="G154">
        <v>24.7</v>
      </c>
      <c r="H154">
        <f t="shared" si="17"/>
        <v>1049.4000000000001</v>
      </c>
      <c r="I154">
        <v>1.4785123000000001E-2</v>
      </c>
      <c r="J154">
        <v>258</v>
      </c>
      <c r="K154">
        <f t="shared" si="15"/>
        <v>0.36421337472777388</v>
      </c>
      <c r="L154">
        <f t="shared" si="16"/>
        <v>476.61027775283947</v>
      </c>
    </row>
    <row r="155" spans="1:12" x14ac:dyDescent="0.6">
      <c r="A155">
        <v>154</v>
      </c>
      <c r="B155" s="2" t="s">
        <v>67</v>
      </c>
      <c r="C155" t="s">
        <v>7</v>
      </c>
      <c r="D155">
        <v>200</v>
      </c>
      <c r="F155">
        <v>124.7</v>
      </c>
      <c r="G155">
        <v>24.7</v>
      </c>
      <c r="H155">
        <f t="shared" si="17"/>
        <v>1049.4000000000001</v>
      </c>
      <c r="I155">
        <v>2.3766186000000002E-2</v>
      </c>
      <c r="J155">
        <v>319</v>
      </c>
      <c r="K155">
        <f t="shared" si="15"/>
        <v>0.42597125307056088</v>
      </c>
      <c r="L155">
        <f t="shared" si="16"/>
        <v>557.42674851639163</v>
      </c>
    </row>
    <row r="156" spans="1:12" x14ac:dyDescent="0.6">
      <c r="A156">
        <v>155</v>
      </c>
      <c r="B156" s="2" t="s">
        <v>67</v>
      </c>
      <c r="C156" t="s">
        <v>7</v>
      </c>
      <c r="D156">
        <v>200</v>
      </c>
      <c r="F156">
        <v>124.7</v>
      </c>
      <c r="G156">
        <v>33.534999999999997</v>
      </c>
      <c r="H156">
        <f t="shared" si="17"/>
        <v>1049.4000000000001</v>
      </c>
      <c r="I156">
        <v>6.418399E-3</v>
      </c>
      <c r="J156">
        <v>304</v>
      </c>
      <c r="K156">
        <f t="shared" si="15"/>
        <v>0.30590665274033257</v>
      </c>
      <c r="L156">
        <f t="shared" si="16"/>
        <v>400.30999640797415</v>
      </c>
    </row>
    <row r="157" spans="1:12" x14ac:dyDescent="0.6">
      <c r="A157">
        <v>156</v>
      </c>
      <c r="B157" s="2" t="s">
        <v>67</v>
      </c>
      <c r="C157" t="s">
        <v>7</v>
      </c>
      <c r="D157">
        <v>200</v>
      </c>
      <c r="F157">
        <v>124.7</v>
      </c>
      <c r="G157">
        <v>33.534999999999997</v>
      </c>
      <c r="H157">
        <f t="shared" si="17"/>
        <v>1049.4000000000001</v>
      </c>
      <c r="I157">
        <v>9.4969219999999997E-3</v>
      </c>
      <c r="J157">
        <v>282</v>
      </c>
      <c r="K157">
        <f t="shared" si="15"/>
        <v>0.34812920201827086</v>
      </c>
      <c r="L157">
        <f t="shared" si="16"/>
        <v>455.56250039367296</v>
      </c>
    </row>
    <row r="158" spans="1:12" x14ac:dyDescent="0.6">
      <c r="A158">
        <v>157</v>
      </c>
      <c r="B158" s="2" t="s">
        <v>67</v>
      </c>
      <c r="C158" t="s">
        <v>7</v>
      </c>
      <c r="D158">
        <v>200</v>
      </c>
      <c r="F158">
        <v>124.7</v>
      </c>
      <c r="G158">
        <v>33.534999999999997</v>
      </c>
      <c r="H158">
        <f t="shared" si="17"/>
        <v>1049.4000000000001</v>
      </c>
      <c r="I158">
        <v>1.1968909E-2</v>
      </c>
      <c r="J158">
        <v>343</v>
      </c>
      <c r="K158">
        <f t="shared" si="15"/>
        <v>0.37574751201072165</v>
      </c>
      <c r="L158">
        <f t="shared" si="16"/>
        <v>491.703870562752</v>
      </c>
    </row>
    <row r="159" spans="1:12" x14ac:dyDescent="0.6">
      <c r="A159">
        <v>158</v>
      </c>
      <c r="B159" s="1" t="s">
        <v>29</v>
      </c>
      <c r="C159" t="s">
        <v>7</v>
      </c>
      <c r="D159">
        <v>150</v>
      </c>
      <c r="F159">
        <v>95</v>
      </c>
      <c r="G159">
        <v>63.65</v>
      </c>
      <c r="H159">
        <f t="shared" si="17"/>
        <v>790</v>
      </c>
      <c r="I159">
        <v>1.1170107E-2</v>
      </c>
      <c r="J159">
        <v>178</v>
      </c>
      <c r="K159">
        <f t="shared" si="15"/>
        <v>0.49639020036510473</v>
      </c>
      <c r="L159">
        <f t="shared" si="16"/>
        <v>372.5408453740111</v>
      </c>
    </row>
    <row r="160" spans="1:12" x14ac:dyDescent="0.6">
      <c r="A160">
        <v>159</v>
      </c>
      <c r="B160" s="1" t="s">
        <v>29</v>
      </c>
      <c r="C160" t="s">
        <v>7</v>
      </c>
      <c r="D160">
        <v>150</v>
      </c>
      <c r="F160">
        <v>95</v>
      </c>
      <c r="G160">
        <v>66.5</v>
      </c>
      <c r="H160">
        <f t="shared" si="17"/>
        <v>790</v>
      </c>
      <c r="I160">
        <v>1.6755161000000001E-2</v>
      </c>
      <c r="J160">
        <v>249</v>
      </c>
      <c r="K160">
        <f t="shared" si="15"/>
        <v>0.57571956322089923</v>
      </c>
      <c r="L160">
        <f t="shared" si="16"/>
        <v>432.07753219728488</v>
      </c>
    </row>
    <row r="161" spans="1:12" x14ac:dyDescent="0.6">
      <c r="A161">
        <v>160</v>
      </c>
      <c r="B161" s="1" t="s">
        <v>29</v>
      </c>
      <c r="C161" t="s">
        <v>7</v>
      </c>
      <c r="D161">
        <v>150</v>
      </c>
      <c r="F161">
        <v>95</v>
      </c>
      <c r="G161">
        <v>65.55</v>
      </c>
      <c r="H161">
        <f t="shared" si="17"/>
        <v>790</v>
      </c>
      <c r="I161">
        <v>2.3466612000000001E-2</v>
      </c>
      <c r="J161">
        <v>356</v>
      </c>
      <c r="K161">
        <f t="shared" si="15"/>
        <v>0.64036623394841607</v>
      </c>
      <c r="L161">
        <f t="shared" si="16"/>
        <v>480.59485857828628</v>
      </c>
    </row>
    <row r="162" spans="1:12" x14ac:dyDescent="0.6">
      <c r="A162">
        <v>161</v>
      </c>
      <c r="B162" s="1" t="s">
        <v>29</v>
      </c>
      <c r="C162" t="s">
        <v>7</v>
      </c>
      <c r="D162">
        <v>150</v>
      </c>
      <c r="F162">
        <v>90</v>
      </c>
      <c r="G162">
        <v>62.7</v>
      </c>
      <c r="H162">
        <f t="shared" si="17"/>
        <v>780</v>
      </c>
      <c r="I162">
        <v>9.5511899999999993E-3</v>
      </c>
      <c r="J162">
        <v>418</v>
      </c>
      <c r="K162">
        <f t="shared" si="15"/>
        <v>0.47750379169352414</v>
      </c>
      <c r="L162">
        <f t="shared" si="16"/>
        <v>335.20766176885394</v>
      </c>
    </row>
    <row r="163" spans="1:12" x14ac:dyDescent="0.6">
      <c r="A163">
        <v>162</v>
      </c>
      <c r="B163" s="1" t="s">
        <v>29</v>
      </c>
      <c r="C163" t="s">
        <v>7</v>
      </c>
      <c r="D163">
        <v>150</v>
      </c>
      <c r="F163">
        <v>125</v>
      </c>
      <c r="G163">
        <v>64.599999999999994</v>
      </c>
      <c r="H163">
        <f t="shared" si="17"/>
        <v>850</v>
      </c>
      <c r="I163">
        <v>1.5273757000000001E-2</v>
      </c>
      <c r="J163">
        <v>365</v>
      </c>
      <c r="K163">
        <f t="shared" si="15"/>
        <v>0.5051939724569493</v>
      </c>
      <c r="L163">
        <f t="shared" si="16"/>
        <v>536.7685957355086</v>
      </c>
    </row>
    <row r="164" spans="1:12" x14ac:dyDescent="0.6">
      <c r="A164">
        <v>163</v>
      </c>
      <c r="B164" s="1" t="s">
        <v>29</v>
      </c>
      <c r="C164" t="s">
        <v>7</v>
      </c>
      <c r="D164">
        <v>150</v>
      </c>
      <c r="F164">
        <v>120</v>
      </c>
      <c r="G164">
        <v>66.5</v>
      </c>
      <c r="H164">
        <f t="shared" si="17"/>
        <v>840</v>
      </c>
      <c r="I164">
        <v>2.0065525000000001E-2</v>
      </c>
      <c r="J164">
        <v>489</v>
      </c>
      <c r="K164">
        <f t="shared" si="15"/>
        <v>0.56567840542038383</v>
      </c>
      <c r="L164">
        <f t="shared" si="16"/>
        <v>570.20383266374688</v>
      </c>
    </row>
    <row r="165" spans="1:12" x14ac:dyDescent="0.6">
      <c r="A165">
        <v>164</v>
      </c>
      <c r="B165" s="1" t="s">
        <v>29</v>
      </c>
      <c r="C165" t="s">
        <v>7</v>
      </c>
      <c r="D165">
        <v>150</v>
      </c>
      <c r="F165">
        <v>95</v>
      </c>
      <c r="G165">
        <v>70.3</v>
      </c>
      <c r="H165">
        <f t="shared" si="17"/>
        <v>790</v>
      </c>
      <c r="I165">
        <v>1.4785123000000001E-2</v>
      </c>
      <c r="J165">
        <v>356</v>
      </c>
      <c r="K165">
        <f t="shared" si="15"/>
        <v>0.56266291598803209</v>
      </c>
      <c r="L165">
        <f t="shared" si="16"/>
        <v>422.27851844901807</v>
      </c>
    </row>
    <row r="166" spans="1:12" x14ac:dyDescent="0.6">
      <c r="A166">
        <v>165</v>
      </c>
      <c r="B166" s="1" t="s">
        <v>29</v>
      </c>
      <c r="C166" t="s">
        <v>7</v>
      </c>
      <c r="D166">
        <v>150</v>
      </c>
      <c r="F166">
        <v>120</v>
      </c>
      <c r="G166">
        <v>65.55</v>
      </c>
      <c r="H166">
        <f t="shared" si="17"/>
        <v>840</v>
      </c>
      <c r="I166">
        <v>1.4785123000000001E-2</v>
      </c>
      <c r="J166">
        <v>436</v>
      </c>
      <c r="K166">
        <f t="shared" si="15"/>
        <v>0.50902721639100423</v>
      </c>
      <c r="L166">
        <f t="shared" si="16"/>
        <v>513.09943412213227</v>
      </c>
    </row>
    <row r="167" spans="1:12" x14ac:dyDescent="0.6">
      <c r="A167">
        <v>166</v>
      </c>
      <c r="B167" s="1" t="s">
        <v>29</v>
      </c>
      <c r="C167" t="s">
        <v>7</v>
      </c>
      <c r="D167">
        <v>150</v>
      </c>
      <c r="F167">
        <v>120</v>
      </c>
      <c r="G167">
        <v>70.3</v>
      </c>
      <c r="H167">
        <f t="shared" si="17"/>
        <v>840</v>
      </c>
      <c r="I167">
        <v>1.4785123000000001E-2</v>
      </c>
      <c r="J167">
        <v>543</v>
      </c>
      <c r="K167">
        <f t="shared" si="15"/>
        <v>0.52091548915348973</v>
      </c>
      <c r="L167">
        <f t="shared" si="16"/>
        <v>525.08281306671768</v>
      </c>
    </row>
    <row r="168" spans="1:12" x14ac:dyDescent="0.6">
      <c r="A168">
        <v>167</v>
      </c>
      <c r="B168" s="1" t="s">
        <v>29</v>
      </c>
      <c r="C168" t="s">
        <v>7</v>
      </c>
      <c r="D168">
        <v>150</v>
      </c>
      <c r="F168">
        <v>120</v>
      </c>
      <c r="G168">
        <v>76</v>
      </c>
      <c r="H168">
        <f t="shared" si="17"/>
        <v>840</v>
      </c>
      <c r="I168">
        <v>9.4969219999999997E-3</v>
      </c>
      <c r="J168">
        <v>645</v>
      </c>
      <c r="K168">
        <f t="shared" si="15"/>
        <v>0.46184964696675923</v>
      </c>
      <c r="L168">
        <f t="shared" si="16"/>
        <v>465.54444414249332</v>
      </c>
    </row>
    <row r="169" spans="1:12" x14ac:dyDescent="0.6">
      <c r="A169">
        <v>168</v>
      </c>
      <c r="B169" s="1" t="s">
        <v>29</v>
      </c>
      <c r="C169" t="s">
        <v>7</v>
      </c>
      <c r="D169">
        <v>150</v>
      </c>
      <c r="F169">
        <v>70</v>
      </c>
      <c r="G169">
        <v>66.5</v>
      </c>
      <c r="H169">
        <f t="shared" si="17"/>
        <v>740</v>
      </c>
      <c r="I169">
        <v>2.0138414E-2</v>
      </c>
      <c r="J169">
        <v>196</v>
      </c>
      <c r="K169">
        <f t="shared" si="15"/>
        <v>0.67660736581544556</v>
      </c>
      <c r="L169">
        <f t="shared" si="16"/>
        <v>350.48261549240078</v>
      </c>
    </row>
    <row r="170" spans="1:12" x14ac:dyDescent="0.6">
      <c r="A170">
        <v>169</v>
      </c>
      <c r="B170" s="1" t="s">
        <v>29</v>
      </c>
      <c r="C170" t="s">
        <v>7</v>
      </c>
      <c r="D170">
        <v>150</v>
      </c>
      <c r="F170">
        <v>70</v>
      </c>
      <c r="G170">
        <v>71.25</v>
      </c>
      <c r="H170">
        <f t="shared" si="17"/>
        <v>740</v>
      </c>
      <c r="I170">
        <v>2.0138414E-2</v>
      </c>
      <c r="J170">
        <v>258</v>
      </c>
      <c r="K170">
        <f t="shared" si="15"/>
        <v>0.69218882742211452</v>
      </c>
      <c r="L170">
        <f t="shared" si="16"/>
        <v>358.55381260465532</v>
      </c>
    </row>
    <row r="171" spans="1:12" x14ac:dyDescent="0.6">
      <c r="A171">
        <v>170</v>
      </c>
      <c r="B171" s="1" t="s">
        <v>29</v>
      </c>
      <c r="C171" t="s">
        <v>7</v>
      </c>
      <c r="D171">
        <v>150</v>
      </c>
      <c r="F171">
        <v>70</v>
      </c>
      <c r="G171">
        <v>64.599999999999994</v>
      </c>
      <c r="H171">
        <f t="shared" si="17"/>
        <v>740</v>
      </c>
      <c r="I171">
        <v>2.0138414E-2</v>
      </c>
      <c r="J171">
        <v>267</v>
      </c>
      <c r="K171">
        <f t="shared" si="15"/>
        <v>0.67016587450605325</v>
      </c>
      <c r="L171">
        <f t="shared" si="16"/>
        <v>347.14592299413556</v>
      </c>
    </row>
    <row r="172" spans="1:12" x14ac:dyDescent="0.6">
      <c r="A172">
        <v>171</v>
      </c>
      <c r="B172" s="1" t="s">
        <v>29</v>
      </c>
      <c r="C172" t="s">
        <v>7</v>
      </c>
      <c r="D172">
        <v>220</v>
      </c>
      <c r="F172">
        <v>95</v>
      </c>
      <c r="G172">
        <v>68.400000000000006</v>
      </c>
      <c r="H172">
        <f t="shared" si="17"/>
        <v>1070</v>
      </c>
      <c r="I172">
        <v>2.0138414E-2</v>
      </c>
      <c r="J172">
        <v>498</v>
      </c>
      <c r="K172">
        <f t="shared" si="15"/>
        <v>0.61745833210233481</v>
      </c>
      <c r="L172">
        <f t="shared" si="16"/>
        <v>627.64639458202339</v>
      </c>
    </row>
    <row r="173" spans="1:12" x14ac:dyDescent="0.6">
      <c r="A173">
        <v>172</v>
      </c>
      <c r="B173" s="1" t="s">
        <v>29</v>
      </c>
      <c r="C173" t="s">
        <v>7</v>
      </c>
      <c r="D173">
        <v>300</v>
      </c>
      <c r="F173">
        <v>95</v>
      </c>
      <c r="G173">
        <v>67.45</v>
      </c>
      <c r="H173">
        <f t="shared" si="17"/>
        <v>1390</v>
      </c>
      <c r="I173">
        <v>2.0138414E-2</v>
      </c>
      <c r="J173">
        <v>560</v>
      </c>
      <c r="K173">
        <f t="shared" si="15"/>
        <v>0.61461504454763738</v>
      </c>
      <c r="L173">
        <f t="shared" si="16"/>
        <v>811.59916632515524</v>
      </c>
    </row>
    <row r="174" spans="1:12" x14ac:dyDescent="0.6">
      <c r="A174">
        <v>173</v>
      </c>
      <c r="B174" s="1" t="s">
        <v>29</v>
      </c>
      <c r="C174" t="s">
        <v>7</v>
      </c>
      <c r="D174">
        <v>150</v>
      </c>
      <c r="F174">
        <v>95</v>
      </c>
      <c r="G174">
        <v>39.9</v>
      </c>
      <c r="H174">
        <f t="shared" si="17"/>
        <v>790</v>
      </c>
      <c r="I174">
        <v>2.0138414E-2</v>
      </c>
      <c r="J174">
        <v>320</v>
      </c>
      <c r="K174">
        <f t="shared" si="15"/>
        <v>0.51684485508998645</v>
      </c>
      <c r="L174">
        <f t="shared" si="16"/>
        <v>387.89206374503482</v>
      </c>
    </row>
    <row r="175" spans="1:12" x14ac:dyDescent="0.6">
      <c r="A175">
        <v>174</v>
      </c>
      <c r="B175" s="1" t="s">
        <v>29</v>
      </c>
      <c r="C175" t="s">
        <v>7</v>
      </c>
      <c r="D175">
        <v>150</v>
      </c>
      <c r="F175">
        <v>120</v>
      </c>
      <c r="G175">
        <v>28.5</v>
      </c>
      <c r="H175">
        <f t="shared" si="17"/>
        <v>840</v>
      </c>
      <c r="I175">
        <v>2.0138414E-2</v>
      </c>
      <c r="J175">
        <v>396</v>
      </c>
      <c r="K175">
        <f t="shared" si="15"/>
        <v>0.42821011740488085</v>
      </c>
      <c r="L175">
        <f t="shared" si="16"/>
        <v>431.63579834411991</v>
      </c>
    </row>
    <row r="176" spans="1:12" x14ac:dyDescent="0.6">
      <c r="A176">
        <v>175</v>
      </c>
      <c r="B176" s="2" t="s">
        <v>68</v>
      </c>
      <c r="C176" t="s">
        <v>10</v>
      </c>
      <c r="D176">
        <v>102</v>
      </c>
      <c r="F176">
        <v>38.1</v>
      </c>
      <c r="G176">
        <v>13.145888429999999</v>
      </c>
      <c r="H176">
        <f t="shared" ref="H176:H210" si="18">PI()*(D176+F176)</f>
        <v>440.13713076792999</v>
      </c>
      <c r="I176">
        <v>2.0138414E-2</v>
      </c>
      <c r="J176">
        <v>78</v>
      </c>
      <c r="K176">
        <f t="shared" si="15"/>
        <v>0.48437684104811041</v>
      </c>
      <c r="L176">
        <f t="shared" si="16"/>
        <v>81.226240784181968</v>
      </c>
    </row>
    <row r="177" spans="1:12" x14ac:dyDescent="0.6">
      <c r="A177">
        <v>176</v>
      </c>
      <c r="B177" s="2" t="s">
        <v>68</v>
      </c>
      <c r="C177" t="s">
        <v>10</v>
      </c>
      <c r="D177">
        <v>102</v>
      </c>
      <c r="F177">
        <v>38.1</v>
      </c>
      <c r="G177">
        <v>13.145888429999999</v>
      </c>
      <c r="H177">
        <f t="shared" si="18"/>
        <v>440.13713076792999</v>
      </c>
      <c r="I177">
        <v>2.0138414E-2</v>
      </c>
      <c r="J177">
        <v>36</v>
      </c>
      <c r="K177">
        <f t="shared" si="15"/>
        <v>0.48437684104811041</v>
      </c>
      <c r="L177">
        <f t="shared" si="16"/>
        <v>81.226240784181968</v>
      </c>
    </row>
    <row r="178" spans="1:12" x14ac:dyDescent="0.6">
      <c r="A178">
        <v>177</v>
      </c>
      <c r="B178" s="2" t="s">
        <v>68</v>
      </c>
      <c r="C178" t="s">
        <v>10</v>
      </c>
      <c r="D178">
        <v>51</v>
      </c>
      <c r="F178">
        <v>38.1</v>
      </c>
      <c r="G178">
        <v>13.145888429999999</v>
      </c>
      <c r="H178">
        <f t="shared" si="18"/>
        <v>279.91590543485057</v>
      </c>
      <c r="I178">
        <v>2.0138414E-2</v>
      </c>
      <c r="J178">
        <v>24</v>
      </c>
      <c r="K178">
        <f t="shared" si="15"/>
        <v>0.48437684104811041</v>
      </c>
      <c r="L178">
        <f t="shared" si="16"/>
        <v>51.657801954822368</v>
      </c>
    </row>
    <row r="179" spans="1:12" x14ac:dyDescent="0.6">
      <c r="A179">
        <v>178</v>
      </c>
      <c r="B179" s="2" t="s">
        <v>68</v>
      </c>
      <c r="C179" t="s">
        <v>10</v>
      </c>
      <c r="D179">
        <v>51</v>
      </c>
      <c r="F179">
        <v>38.1</v>
      </c>
      <c r="G179">
        <v>13.145888429999999</v>
      </c>
      <c r="H179">
        <f t="shared" si="18"/>
        <v>279.91590543485057</v>
      </c>
      <c r="I179">
        <v>2.1388490999999999E-2</v>
      </c>
      <c r="J179">
        <v>35</v>
      </c>
      <c r="K179">
        <f t="shared" si="15"/>
        <v>0.494099575926506</v>
      </c>
      <c r="L179">
        <f t="shared" si="16"/>
        <v>52.694711794939025</v>
      </c>
    </row>
    <row r="180" spans="1:12" x14ac:dyDescent="0.6">
      <c r="A180">
        <v>179</v>
      </c>
      <c r="B180" s="2" t="s">
        <v>68</v>
      </c>
      <c r="C180" t="s">
        <v>10</v>
      </c>
      <c r="D180">
        <v>102</v>
      </c>
      <c r="F180">
        <v>38.1</v>
      </c>
      <c r="G180">
        <v>13.145888429999999</v>
      </c>
      <c r="H180">
        <f t="shared" si="18"/>
        <v>440.13713076792999</v>
      </c>
      <c r="I180">
        <v>2.1388490999999999E-2</v>
      </c>
      <c r="J180">
        <v>33</v>
      </c>
      <c r="K180">
        <f t="shared" si="15"/>
        <v>0.494099575926506</v>
      </c>
      <c r="L180">
        <f t="shared" si="16"/>
        <v>82.856668041200408</v>
      </c>
    </row>
    <row r="181" spans="1:12" x14ac:dyDescent="0.6">
      <c r="A181">
        <v>180</v>
      </c>
      <c r="B181" s="2" t="s">
        <v>68</v>
      </c>
      <c r="C181" t="s">
        <v>10</v>
      </c>
      <c r="D181">
        <v>152</v>
      </c>
      <c r="F181">
        <v>38.1</v>
      </c>
      <c r="G181">
        <v>13.145888429999999</v>
      </c>
      <c r="H181">
        <f t="shared" si="18"/>
        <v>597.21676344741968</v>
      </c>
      <c r="I181">
        <v>6.6450229999999999E-3</v>
      </c>
      <c r="J181">
        <v>49</v>
      </c>
      <c r="K181">
        <f t="shared" si="15"/>
        <v>0.33595327134258729</v>
      </c>
      <c r="L181">
        <f t="shared" si="16"/>
        <v>76.442668570082049</v>
      </c>
    </row>
    <row r="182" spans="1:12" x14ac:dyDescent="0.6">
      <c r="A182">
        <v>181</v>
      </c>
      <c r="B182" s="2" t="s">
        <v>68</v>
      </c>
      <c r="C182" t="s">
        <v>10</v>
      </c>
      <c r="D182">
        <v>102</v>
      </c>
      <c r="F182">
        <v>38.1</v>
      </c>
      <c r="G182">
        <v>13.145888429999999</v>
      </c>
      <c r="H182">
        <f t="shared" si="18"/>
        <v>440.13713076792999</v>
      </c>
      <c r="I182">
        <v>5.0105005000000001E-2</v>
      </c>
      <c r="J182">
        <v>34</v>
      </c>
      <c r="K182">
        <f t="shared" si="15"/>
        <v>0.65435857719059942</v>
      </c>
      <c r="L182">
        <f t="shared" si="16"/>
        <v>109.73086003671915</v>
      </c>
    </row>
    <row r="183" spans="1:12" x14ac:dyDescent="0.6">
      <c r="A183">
        <v>182</v>
      </c>
      <c r="B183" s="2" t="s">
        <v>68</v>
      </c>
      <c r="C183" t="s">
        <v>10</v>
      </c>
      <c r="D183">
        <v>102</v>
      </c>
      <c r="F183">
        <v>76.2</v>
      </c>
      <c r="G183">
        <v>22.931617039999999</v>
      </c>
      <c r="H183">
        <f t="shared" si="18"/>
        <v>559.83181086970114</v>
      </c>
      <c r="I183">
        <v>1.4994044999999999E-2</v>
      </c>
      <c r="J183">
        <v>129</v>
      </c>
      <c r="K183">
        <f t="shared" si="15"/>
        <v>0.42005978479715317</v>
      </c>
      <c r="L183">
        <f t="shared" si="16"/>
        <v>179.19407645735376</v>
      </c>
    </row>
    <row r="184" spans="1:12" x14ac:dyDescent="0.6">
      <c r="A184">
        <v>183</v>
      </c>
      <c r="B184" s="2" t="s">
        <v>68</v>
      </c>
      <c r="C184" t="s">
        <v>10</v>
      </c>
      <c r="D184">
        <v>102</v>
      </c>
      <c r="F184">
        <v>76.2</v>
      </c>
      <c r="G184">
        <v>21.484062810000001</v>
      </c>
      <c r="H184">
        <f t="shared" si="18"/>
        <v>559.83181086970114</v>
      </c>
      <c r="I184">
        <v>4.4752029999999996E-3</v>
      </c>
      <c r="J184">
        <v>136</v>
      </c>
      <c r="K184">
        <f t="shared" si="15"/>
        <v>0.2758551360890818</v>
      </c>
      <c r="L184">
        <f t="shared" si="16"/>
        <v>117.6775500453374</v>
      </c>
    </row>
    <row r="185" spans="1:12" x14ac:dyDescent="0.6">
      <c r="A185">
        <v>184</v>
      </c>
      <c r="B185" s="2" t="s">
        <v>68</v>
      </c>
      <c r="C185" t="s">
        <v>10</v>
      </c>
      <c r="D185">
        <v>102</v>
      </c>
      <c r="F185">
        <v>76.2</v>
      </c>
      <c r="G185">
        <v>23.416318459999999</v>
      </c>
      <c r="H185">
        <f t="shared" si="18"/>
        <v>559.83181086970114</v>
      </c>
      <c r="I185">
        <v>1.4994044999999999E-2</v>
      </c>
      <c r="J185">
        <v>129</v>
      </c>
      <c r="K185">
        <f t="shared" si="15"/>
        <v>0.42296925882035702</v>
      </c>
      <c r="L185">
        <f t="shared" si="16"/>
        <v>180.43523433400321</v>
      </c>
    </row>
    <row r="186" spans="1:12" x14ac:dyDescent="0.6">
      <c r="A186">
        <v>185</v>
      </c>
      <c r="B186" s="2" t="s">
        <v>68</v>
      </c>
      <c r="C186" t="s">
        <v>10</v>
      </c>
      <c r="D186">
        <v>152</v>
      </c>
      <c r="F186">
        <v>113.2979</v>
      </c>
      <c r="G186">
        <v>21.484062810000001</v>
      </c>
      <c r="H186">
        <f t="shared" si="18"/>
        <v>833.45793365279962</v>
      </c>
      <c r="I186">
        <v>7.3049474000000003E-2</v>
      </c>
      <c r="J186">
        <v>311</v>
      </c>
      <c r="K186">
        <f t="shared" si="15"/>
        <v>0.60821683587267117</v>
      </c>
      <c r="L186">
        <f t="shared" si="16"/>
        <v>574.33328043601273</v>
      </c>
    </row>
    <row r="187" spans="1:12" x14ac:dyDescent="0.6">
      <c r="A187">
        <v>186</v>
      </c>
      <c r="B187" s="2" t="s">
        <v>68</v>
      </c>
      <c r="C187" t="s">
        <v>10</v>
      </c>
      <c r="D187">
        <v>203</v>
      </c>
      <c r="F187">
        <v>113.2979</v>
      </c>
      <c r="G187">
        <v>23.58006894</v>
      </c>
      <c r="H187">
        <f t="shared" si="18"/>
        <v>993.6791589858791</v>
      </c>
      <c r="I187">
        <v>4.6674280000000004E-3</v>
      </c>
      <c r="J187">
        <v>357</v>
      </c>
      <c r="K187">
        <f t="shared" si="15"/>
        <v>0.2530473949055444</v>
      </c>
      <c r="L187">
        <f t="shared" si="16"/>
        <v>284.88521584652545</v>
      </c>
    </row>
    <row r="188" spans="1:12" x14ac:dyDescent="0.6">
      <c r="A188">
        <v>187</v>
      </c>
      <c r="B188" s="2" t="s">
        <v>68</v>
      </c>
      <c r="C188" t="s">
        <v>10</v>
      </c>
      <c r="D188">
        <v>203</v>
      </c>
      <c r="F188">
        <v>121.55821</v>
      </c>
      <c r="G188">
        <v>23.58006894</v>
      </c>
      <c r="H188">
        <f t="shared" si="18"/>
        <v>1019.6296881982535</v>
      </c>
      <c r="I188">
        <v>2.1388490999999999E-2</v>
      </c>
      <c r="J188">
        <v>271</v>
      </c>
      <c r="K188">
        <f t="shared" si="15"/>
        <v>0.40858281639042382</v>
      </c>
      <c r="L188">
        <f t="shared" si="16"/>
        <v>506.41535586545882</v>
      </c>
    </row>
    <row r="189" spans="1:12" x14ac:dyDescent="0.6">
      <c r="A189">
        <v>188</v>
      </c>
      <c r="B189" s="2" t="s">
        <v>68</v>
      </c>
      <c r="C189" t="s">
        <v>10</v>
      </c>
      <c r="D189">
        <v>152</v>
      </c>
      <c r="F189">
        <v>72.530900000000003</v>
      </c>
      <c r="G189">
        <v>23.75036944</v>
      </c>
      <c r="H189">
        <f t="shared" si="18"/>
        <v>705.38462594390444</v>
      </c>
      <c r="I189">
        <v>6.6450229999999999E-3</v>
      </c>
      <c r="J189">
        <v>202</v>
      </c>
      <c r="K189">
        <f t="shared" si="15"/>
        <v>0.33020378377039711</v>
      </c>
      <c r="L189">
        <f t="shared" si="16"/>
        <v>168.93946005040655</v>
      </c>
    </row>
    <row r="190" spans="1:12" x14ac:dyDescent="0.6">
      <c r="A190">
        <v>189</v>
      </c>
      <c r="B190" s="2" t="s">
        <v>68</v>
      </c>
      <c r="C190" t="s">
        <v>10</v>
      </c>
      <c r="D190">
        <v>152</v>
      </c>
      <c r="F190">
        <v>80.791210000000007</v>
      </c>
      <c r="G190">
        <v>23.75036944</v>
      </c>
      <c r="H190">
        <f t="shared" si="18"/>
        <v>731.3351551562788</v>
      </c>
      <c r="I190">
        <v>5.0105005000000001E-2</v>
      </c>
      <c r="J190">
        <v>160</v>
      </c>
      <c r="K190">
        <f t="shared" si="15"/>
        <v>0.62067095893236102</v>
      </c>
      <c r="L190">
        <f t="shared" si="16"/>
        <v>366.72624214239869</v>
      </c>
    </row>
    <row r="191" spans="1:12" x14ac:dyDescent="0.6">
      <c r="A191">
        <v>190</v>
      </c>
      <c r="B191" s="2" t="s">
        <v>68</v>
      </c>
      <c r="C191" t="s">
        <v>10</v>
      </c>
      <c r="D191">
        <v>152</v>
      </c>
      <c r="F191">
        <v>85.724999999999994</v>
      </c>
      <c r="G191">
        <v>22.008064340000001</v>
      </c>
      <c r="H191">
        <f t="shared" si="18"/>
        <v>746.83511357463351</v>
      </c>
      <c r="I191">
        <v>1.4994044999999999E-2</v>
      </c>
      <c r="J191">
        <v>107</v>
      </c>
      <c r="K191">
        <f t="shared" si="15"/>
        <v>0.39860187578324163</v>
      </c>
      <c r="L191">
        <f t="shared" si="16"/>
        <v>255.19464720538772</v>
      </c>
    </row>
    <row r="192" spans="1:12" x14ac:dyDescent="0.6">
      <c r="A192">
        <v>191</v>
      </c>
      <c r="B192" s="2" t="s">
        <v>68</v>
      </c>
      <c r="C192" t="s">
        <v>10</v>
      </c>
      <c r="D192">
        <v>102</v>
      </c>
      <c r="F192">
        <v>80.791210000000007</v>
      </c>
      <c r="G192">
        <v>24.23507086</v>
      </c>
      <c r="H192">
        <f t="shared" si="18"/>
        <v>574.25552247678911</v>
      </c>
      <c r="I192">
        <v>4.4752029999999996E-3</v>
      </c>
      <c r="J192">
        <v>121</v>
      </c>
      <c r="K192">
        <f t="shared" si="15"/>
        <v>0.28155565750694739</v>
      </c>
      <c r="L192">
        <f t="shared" si="16"/>
        <v>130.6271799940848</v>
      </c>
    </row>
    <row r="193" spans="1:12" x14ac:dyDescent="0.6">
      <c r="A193">
        <v>192</v>
      </c>
      <c r="B193" s="2" t="s">
        <v>68</v>
      </c>
      <c r="C193" t="s">
        <v>10</v>
      </c>
      <c r="D193">
        <v>203</v>
      </c>
      <c r="F193">
        <v>33.16621</v>
      </c>
      <c r="G193">
        <v>20.960061280000001</v>
      </c>
      <c r="H193">
        <f t="shared" si="18"/>
        <v>741.93803036214433</v>
      </c>
      <c r="I193">
        <v>6.6450229999999999E-3</v>
      </c>
      <c r="J193">
        <v>89</v>
      </c>
      <c r="K193">
        <f t="shared" si="15"/>
        <v>0.41021670988116632</v>
      </c>
      <c r="L193">
        <f t="shared" si="16"/>
        <v>100.94314373114739</v>
      </c>
    </row>
    <row r="194" spans="1:12" x14ac:dyDescent="0.6">
      <c r="A194">
        <v>193</v>
      </c>
      <c r="B194" s="2" t="s">
        <v>68</v>
      </c>
      <c r="C194" t="s">
        <v>10</v>
      </c>
      <c r="D194">
        <v>203</v>
      </c>
      <c r="F194">
        <v>123.31699999999999</v>
      </c>
      <c r="G194">
        <v>20.960061280000001</v>
      </c>
      <c r="H194">
        <f t="shared" si="18"/>
        <v>1025.1550899414606</v>
      </c>
      <c r="I194">
        <v>5.0105005000000001E-2</v>
      </c>
      <c r="J194">
        <v>271</v>
      </c>
      <c r="K194">
        <f t="shared" si="15"/>
        <v>0.51801499036546017</v>
      </c>
      <c r="L194">
        <f t="shared" si="16"/>
        <v>654.86963084993158</v>
      </c>
    </row>
    <row r="195" spans="1:12" x14ac:dyDescent="0.6">
      <c r="A195">
        <v>194</v>
      </c>
      <c r="B195" s="2" t="s">
        <v>68</v>
      </c>
      <c r="C195" t="s">
        <v>10</v>
      </c>
      <c r="D195">
        <v>203</v>
      </c>
      <c r="F195">
        <v>113.2979</v>
      </c>
      <c r="G195">
        <v>14.305241820000001</v>
      </c>
      <c r="H195">
        <f t="shared" si="18"/>
        <v>993.6791589858791</v>
      </c>
      <c r="I195">
        <v>1.4994044999999999E-2</v>
      </c>
      <c r="J195">
        <v>278</v>
      </c>
      <c r="K195">
        <f t="shared" ref="K195:K258" si="19">(I195*G195*16/F195)^0.33</f>
        <v>0.31537916927470605</v>
      </c>
      <c r="L195">
        <f t="shared" ref="L195:L258" si="20">K195*H195*F195/100</f>
        <v>355.0594257090055</v>
      </c>
    </row>
    <row r="196" spans="1:12" x14ac:dyDescent="0.6">
      <c r="A196">
        <v>195</v>
      </c>
      <c r="B196" s="2" t="s">
        <v>68</v>
      </c>
      <c r="C196" t="s">
        <v>10</v>
      </c>
      <c r="D196">
        <v>203</v>
      </c>
      <c r="F196">
        <v>121.55821</v>
      </c>
      <c r="G196">
        <v>15.287744699999999</v>
      </c>
      <c r="H196">
        <f t="shared" si="18"/>
        <v>1019.6296881982535</v>
      </c>
      <c r="I196">
        <v>4.4752029999999996E-3</v>
      </c>
      <c r="J196">
        <v>230</v>
      </c>
      <c r="K196">
        <f t="shared" si="19"/>
        <v>0.2113402952773121</v>
      </c>
      <c r="L196">
        <f t="shared" si="20"/>
        <v>261.94437589686061</v>
      </c>
    </row>
    <row r="197" spans="1:12" x14ac:dyDescent="0.6">
      <c r="A197">
        <v>196</v>
      </c>
      <c r="B197" s="2" t="s">
        <v>68</v>
      </c>
      <c r="C197" t="s">
        <v>10</v>
      </c>
      <c r="D197">
        <v>152</v>
      </c>
      <c r="F197">
        <v>72.530900000000003</v>
      </c>
      <c r="G197">
        <v>12.51053658</v>
      </c>
      <c r="H197">
        <f t="shared" si="18"/>
        <v>705.38462594390444</v>
      </c>
      <c r="I197">
        <v>2.0138414E-2</v>
      </c>
      <c r="J197">
        <v>154</v>
      </c>
      <c r="K197">
        <f t="shared" si="19"/>
        <v>0.38531541067236458</v>
      </c>
      <c r="L197">
        <f t="shared" si="20"/>
        <v>197.1357707801219</v>
      </c>
    </row>
    <row r="198" spans="1:12" x14ac:dyDescent="0.6">
      <c r="A198">
        <v>197</v>
      </c>
      <c r="B198" s="2" t="s">
        <v>68</v>
      </c>
      <c r="C198" t="s">
        <v>10</v>
      </c>
      <c r="D198">
        <v>152</v>
      </c>
      <c r="F198">
        <v>80.791210000000007</v>
      </c>
      <c r="G198">
        <v>13.78124029</v>
      </c>
      <c r="H198">
        <f t="shared" si="18"/>
        <v>731.3351551562788</v>
      </c>
      <c r="I198">
        <v>2.0138414E-2</v>
      </c>
      <c r="J198">
        <v>108</v>
      </c>
      <c r="K198">
        <f t="shared" si="19"/>
        <v>0.38390424576011761</v>
      </c>
      <c r="L198">
        <f t="shared" si="20"/>
        <v>226.83155924081584</v>
      </c>
    </row>
    <row r="199" spans="1:12" x14ac:dyDescent="0.6">
      <c r="A199">
        <v>198</v>
      </c>
      <c r="B199" s="2" t="s">
        <v>68</v>
      </c>
      <c r="C199" t="s">
        <v>10</v>
      </c>
      <c r="D199">
        <v>152</v>
      </c>
      <c r="F199">
        <v>85.724999999999994</v>
      </c>
      <c r="G199">
        <v>13.355489049999999</v>
      </c>
      <c r="H199">
        <f t="shared" si="18"/>
        <v>746.83511357463351</v>
      </c>
      <c r="I199">
        <v>1.7523624000000002E-2</v>
      </c>
      <c r="J199">
        <v>69</v>
      </c>
      <c r="K199">
        <f t="shared" si="19"/>
        <v>0.35587522068928618</v>
      </c>
      <c r="L199">
        <f t="shared" si="20"/>
        <v>227.84000003634731</v>
      </c>
    </row>
    <row r="200" spans="1:12" x14ac:dyDescent="0.6">
      <c r="A200">
        <v>199</v>
      </c>
      <c r="B200" s="2" t="s">
        <v>68</v>
      </c>
      <c r="C200" t="s">
        <v>10</v>
      </c>
      <c r="D200">
        <v>203</v>
      </c>
      <c r="F200">
        <v>121.55821</v>
      </c>
      <c r="G200">
        <v>49.472294640000001</v>
      </c>
      <c r="H200">
        <f t="shared" si="18"/>
        <v>1019.6296881982535</v>
      </c>
      <c r="I200">
        <v>1.7523624000000002E-2</v>
      </c>
      <c r="J200">
        <v>306</v>
      </c>
      <c r="K200">
        <f t="shared" si="19"/>
        <v>0.48855802355142181</v>
      </c>
      <c r="L200">
        <f t="shared" si="20"/>
        <v>605.5401143480816</v>
      </c>
    </row>
    <row r="201" spans="1:12" x14ac:dyDescent="0.6">
      <c r="A201">
        <v>200</v>
      </c>
      <c r="B201" s="2" t="s">
        <v>68</v>
      </c>
      <c r="C201" t="s">
        <v>10</v>
      </c>
      <c r="D201">
        <v>203</v>
      </c>
      <c r="F201">
        <v>72.530900000000003</v>
      </c>
      <c r="G201">
        <v>49.472294640000001</v>
      </c>
      <c r="H201">
        <f t="shared" si="18"/>
        <v>865.6058512769838</v>
      </c>
      <c r="I201">
        <v>1.7523624000000002E-2</v>
      </c>
      <c r="J201">
        <v>323</v>
      </c>
      <c r="K201">
        <f t="shared" si="19"/>
        <v>0.57932511419152377</v>
      </c>
      <c r="L201">
        <f t="shared" si="20"/>
        <v>363.71867962848859</v>
      </c>
    </row>
    <row r="202" spans="1:12" x14ac:dyDescent="0.6">
      <c r="A202">
        <v>201</v>
      </c>
      <c r="B202" s="2" t="s">
        <v>68</v>
      </c>
      <c r="C202" t="s">
        <v>10</v>
      </c>
      <c r="D202">
        <v>152</v>
      </c>
      <c r="F202">
        <v>80.791210000000007</v>
      </c>
      <c r="G202">
        <v>49.472294640000001</v>
      </c>
      <c r="H202">
        <f t="shared" si="18"/>
        <v>731.3351551562788</v>
      </c>
      <c r="I202">
        <v>1.7523624000000002E-2</v>
      </c>
      <c r="J202">
        <v>243</v>
      </c>
      <c r="K202">
        <f t="shared" si="19"/>
        <v>0.55906822646144239</v>
      </c>
      <c r="L202">
        <f t="shared" si="20"/>
        <v>330.32798915562495</v>
      </c>
    </row>
    <row r="203" spans="1:12" x14ac:dyDescent="0.6">
      <c r="A203">
        <v>202</v>
      </c>
      <c r="B203" s="2" t="s">
        <v>68</v>
      </c>
      <c r="C203" t="s">
        <v>10</v>
      </c>
      <c r="D203">
        <v>152</v>
      </c>
      <c r="F203">
        <v>85.724999999999994</v>
      </c>
      <c r="G203">
        <v>49.472294640000001</v>
      </c>
      <c r="H203">
        <f t="shared" si="18"/>
        <v>746.83511357463351</v>
      </c>
      <c r="I203">
        <v>1.7523624000000002E-2</v>
      </c>
      <c r="J203">
        <v>148</v>
      </c>
      <c r="K203">
        <f t="shared" si="19"/>
        <v>0.54823845495674695</v>
      </c>
      <c r="L203">
        <f t="shared" si="20"/>
        <v>350.99563649117175</v>
      </c>
    </row>
    <row r="204" spans="1:12" x14ac:dyDescent="0.6">
      <c r="A204">
        <v>203</v>
      </c>
      <c r="B204" s="2" t="s">
        <v>68</v>
      </c>
      <c r="C204" t="s">
        <v>10</v>
      </c>
      <c r="D204">
        <v>203</v>
      </c>
      <c r="F204">
        <v>38.1</v>
      </c>
      <c r="G204">
        <v>49.472294640000001</v>
      </c>
      <c r="H204">
        <f t="shared" si="18"/>
        <v>757.43798878049915</v>
      </c>
      <c r="I204">
        <v>1.0471980000000001E-3</v>
      </c>
      <c r="J204">
        <v>74</v>
      </c>
      <c r="K204">
        <f t="shared" si="19"/>
        <v>0.2827504700745001</v>
      </c>
      <c r="L204">
        <f t="shared" si="20"/>
        <v>81.597225951768607</v>
      </c>
    </row>
    <row r="205" spans="1:12" x14ac:dyDescent="0.6">
      <c r="A205">
        <v>204</v>
      </c>
      <c r="B205" s="2" t="s">
        <v>68</v>
      </c>
      <c r="C205" t="s">
        <v>10</v>
      </c>
      <c r="D205">
        <v>152</v>
      </c>
      <c r="F205">
        <v>38.1</v>
      </c>
      <c r="G205">
        <v>49.472294640000001</v>
      </c>
      <c r="H205">
        <f t="shared" si="18"/>
        <v>597.21676344741968</v>
      </c>
      <c r="I205">
        <v>4.2311010000000001E-3</v>
      </c>
      <c r="J205">
        <v>70</v>
      </c>
      <c r="K205">
        <f t="shared" si="19"/>
        <v>0.44825325281364953</v>
      </c>
      <c r="L205">
        <f t="shared" si="20"/>
        <v>101.99535995990554</v>
      </c>
    </row>
    <row r="206" spans="1:12" x14ac:dyDescent="0.6">
      <c r="A206">
        <v>205</v>
      </c>
      <c r="B206" s="2" t="s">
        <v>69</v>
      </c>
      <c r="C206" t="s">
        <v>10</v>
      </c>
      <c r="D206">
        <v>102</v>
      </c>
      <c r="F206">
        <v>82.55</v>
      </c>
      <c r="G206">
        <v>37.99145</v>
      </c>
      <c r="H206">
        <f t="shared" si="18"/>
        <v>579.78092421999634</v>
      </c>
      <c r="I206">
        <v>5.5850539999999999E-3</v>
      </c>
      <c r="J206">
        <v>479</v>
      </c>
      <c r="K206">
        <f t="shared" si="19"/>
        <v>0.34886574619279981</v>
      </c>
      <c r="L206">
        <f t="shared" si="20"/>
        <v>166.97033927637531</v>
      </c>
    </row>
    <row r="207" spans="1:12" x14ac:dyDescent="0.6">
      <c r="A207">
        <v>206</v>
      </c>
      <c r="B207" s="2" t="s">
        <v>69</v>
      </c>
      <c r="C207" t="s">
        <v>10</v>
      </c>
      <c r="D207">
        <v>102</v>
      </c>
      <c r="F207">
        <v>82.55</v>
      </c>
      <c r="G207">
        <v>37.99145</v>
      </c>
      <c r="H207">
        <f t="shared" si="18"/>
        <v>579.78092421999634</v>
      </c>
      <c r="I207">
        <v>6.9121950000000003E-3</v>
      </c>
      <c r="J207">
        <v>204</v>
      </c>
      <c r="K207">
        <f t="shared" si="19"/>
        <v>0.37429374499072998</v>
      </c>
      <c r="L207">
        <f t="shared" si="20"/>
        <v>179.14041224210371</v>
      </c>
    </row>
    <row r="208" spans="1:12" x14ac:dyDescent="0.6">
      <c r="A208">
        <v>207</v>
      </c>
      <c r="B208" s="2" t="s">
        <v>69</v>
      </c>
      <c r="C208" t="s">
        <v>10</v>
      </c>
      <c r="D208">
        <v>102</v>
      </c>
      <c r="F208">
        <v>82.55</v>
      </c>
      <c r="G208">
        <v>37.99145</v>
      </c>
      <c r="H208">
        <f t="shared" si="18"/>
        <v>579.78092421999634</v>
      </c>
      <c r="I208">
        <v>8.2133139999999993E-3</v>
      </c>
      <c r="J208">
        <v>149</v>
      </c>
      <c r="K208">
        <f t="shared" si="19"/>
        <v>0.39621451023477605</v>
      </c>
      <c r="L208">
        <f t="shared" si="20"/>
        <v>189.63189112743225</v>
      </c>
    </row>
    <row r="209" spans="1:12" x14ac:dyDescent="0.6">
      <c r="A209">
        <v>208</v>
      </c>
      <c r="B209" s="2" t="s">
        <v>69</v>
      </c>
      <c r="C209" t="s">
        <v>10</v>
      </c>
      <c r="D209">
        <v>102</v>
      </c>
      <c r="F209">
        <v>82.55</v>
      </c>
      <c r="G209">
        <v>37.99145</v>
      </c>
      <c r="H209">
        <f t="shared" si="18"/>
        <v>579.78092421999634</v>
      </c>
      <c r="I209">
        <v>8.8371100000000005E-3</v>
      </c>
      <c r="J209">
        <v>129</v>
      </c>
      <c r="K209">
        <f t="shared" si="19"/>
        <v>0.4059024583760874</v>
      </c>
      <c r="L209">
        <f t="shared" si="20"/>
        <v>194.26863178110688</v>
      </c>
    </row>
    <row r="210" spans="1:12" x14ac:dyDescent="0.6">
      <c r="A210">
        <v>209</v>
      </c>
      <c r="B210" s="2" t="s">
        <v>69</v>
      </c>
      <c r="C210" t="s">
        <v>10</v>
      </c>
      <c r="D210">
        <v>102</v>
      </c>
      <c r="F210">
        <v>82.55</v>
      </c>
      <c r="G210">
        <v>37.99145</v>
      </c>
      <c r="H210">
        <f t="shared" si="18"/>
        <v>579.78092421999634</v>
      </c>
      <c r="I210">
        <v>1.0266643000000001E-2</v>
      </c>
      <c r="J210">
        <v>139</v>
      </c>
      <c r="K210">
        <f t="shared" si="19"/>
        <v>0.42649180197150971</v>
      </c>
      <c r="L210">
        <f t="shared" si="20"/>
        <v>204.12288007897681</v>
      </c>
    </row>
    <row r="211" spans="1:12" x14ac:dyDescent="0.6">
      <c r="A211">
        <v>210</v>
      </c>
      <c r="B211" t="s">
        <v>15</v>
      </c>
      <c r="C211" t="s">
        <v>7</v>
      </c>
      <c r="D211">
        <v>250</v>
      </c>
      <c r="F211">
        <v>143</v>
      </c>
      <c r="G211">
        <v>23.25</v>
      </c>
      <c r="H211">
        <f t="shared" ref="H211:H223" si="21">4*D211+2*F211</f>
        <v>1286</v>
      </c>
      <c r="I211">
        <v>1.1635527999999999E-2</v>
      </c>
      <c r="J211">
        <v>398</v>
      </c>
      <c r="K211">
        <f t="shared" si="19"/>
        <v>0.31530269973168901</v>
      </c>
      <c r="L211">
        <f t="shared" si="20"/>
        <v>579.83535875258144</v>
      </c>
    </row>
    <row r="212" spans="1:12" x14ac:dyDescent="0.6">
      <c r="A212">
        <v>211</v>
      </c>
      <c r="B212" t="s">
        <v>15</v>
      </c>
      <c r="C212" t="s">
        <v>7</v>
      </c>
      <c r="D212">
        <v>250</v>
      </c>
      <c r="F212">
        <v>108</v>
      </c>
      <c r="G212">
        <v>26.175000000000001</v>
      </c>
      <c r="H212">
        <f t="shared" si="21"/>
        <v>1216</v>
      </c>
      <c r="I212">
        <v>1.2928365000000001E-2</v>
      </c>
      <c r="J212">
        <v>282</v>
      </c>
      <c r="K212">
        <f t="shared" si="19"/>
        <v>0.37242750911464501</v>
      </c>
      <c r="L212">
        <f t="shared" si="20"/>
        <v>489.10159917008104</v>
      </c>
    </row>
    <row r="213" spans="1:12" x14ac:dyDescent="0.6">
      <c r="A213">
        <v>212</v>
      </c>
      <c r="B213" t="s">
        <v>15</v>
      </c>
      <c r="C213" t="s">
        <v>7</v>
      </c>
      <c r="D213">
        <v>250</v>
      </c>
      <c r="F213">
        <v>110</v>
      </c>
      <c r="G213">
        <v>22.5</v>
      </c>
      <c r="H213">
        <f t="shared" si="21"/>
        <v>1220</v>
      </c>
      <c r="I213">
        <v>1.4544410000000001E-2</v>
      </c>
      <c r="J213">
        <v>299</v>
      </c>
      <c r="K213">
        <f t="shared" si="19"/>
        <v>0.36610862047025106</v>
      </c>
      <c r="L213">
        <f t="shared" si="20"/>
        <v>491.31776867107692</v>
      </c>
    </row>
    <row r="214" spans="1:12" x14ac:dyDescent="0.6">
      <c r="A214">
        <v>213</v>
      </c>
      <c r="B214" t="s">
        <v>15</v>
      </c>
      <c r="C214" t="s">
        <v>7</v>
      </c>
      <c r="D214">
        <v>250</v>
      </c>
      <c r="F214">
        <v>110</v>
      </c>
      <c r="G214">
        <v>23.85</v>
      </c>
      <c r="H214">
        <f t="shared" si="21"/>
        <v>1220</v>
      </c>
      <c r="I214">
        <v>5.1713460000000003E-3</v>
      </c>
      <c r="J214">
        <v>321</v>
      </c>
      <c r="K214">
        <f t="shared" si="19"/>
        <v>0.26531411859258358</v>
      </c>
      <c r="L214">
        <f t="shared" si="20"/>
        <v>356.05154715124712</v>
      </c>
    </row>
    <row r="215" spans="1:12" x14ac:dyDescent="0.6">
      <c r="A215">
        <v>214</v>
      </c>
      <c r="B215" t="s">
        <v>15</v>
      </c>
      <c r="C215" t="s">
        <v>7</v>
      </c>
      <c r="D215">
        <v>250</v>
      </c>
      <c r="F215">
        <v>110</v>
      </c>
      <c r="G215">
        <v>22.125</v>
      </c>
      <c r="H215">
        <f t="shared" si="21"/>
        <v>1220</v>
      </c>
      <c r="I215">
        <v>8.0245019999999993E-3</v>
      </c>
      <c r="J215">
        <v>311</v>
      </c>
      <c r="K215">
        <f t="shared" si="19"/>
        <v>0.29920542247334247</v>
      </c>
      <c r="L215">
        <f t="shared" si="20"/>
        <v>401.53367695922555</v>
      </c>
    </row>
    <row r="216" spans="1:12" x14ac:dyDescent="0.6">
      <c r="A216">
        <v>215</v>
      </c>
      <c r="B216" t="s">
        <v>15</v>
      </c>
      <c r="C216" t="s">
        <v>7</v>
      </c>
      <c r="D216">
        <v>250</v>
      </c>
      <c r="F216">
        <v>110</v>
      </c>
      <c r="G216">
        <v>23.85</v>
      </c>
      <c r="H216">
        <f t="shared" si="21"/>
        <v>1220</v>
      </c>
      <c r="I216">
        <v>1.1081456E-2</v>
      </c>
      <c r="J216">
        <v>319</v>
      </c>
      <c r="K216">
        <f t="shared" si="19"/>
        <v>0.34118358432656654</v>
      </c>
      <c r="L216">
        <f t="shared" si="20"/>
        <v>457.8683701662523</v>
      </c>
    </row>
    <row r="217" spans="1:12" x14ac:dyDescent="0.6">
      <c r="A217">
        <v>216</v>
      </c>
      <c r="B217" t="s">
        <v>15</v>
      </c>
      <c r="C217" t="s">
        <v>7</v>
      </c>
      <c r="D217">
        <v>250</v>
      </c>
      <c r="F217">
        <v>110</v>
      </c>
      <c r="G217">
        <v>22.125</v>
      </c>
      <c r="H217">
        <f t="shared" si="21"/>
        <v>1220</v>
      </c>
      <c r="I217">
        <v>6.0183770000000001E-3</v>
      </c>
      <c r="J217">
        <v>319</v>
      </c>
      <c r="K217">
        <f t="shared" si="19"/>
        <v>0.27210698405138345</v>
      </c>
      <c r="L217">
        <f t="shared" si="20"/>
        <v>365.16757259695657</v>
      </c>
    </row>
    <row r="218" spans="1:12" x14ac:dyDescent="0.6">
      <c r="A218">
        <v>217</v>
      </c>
      <c r="B218" t="s">
        <v>15</v>
      </c>
      <c r="C218" t="s">
        <v>7</v>
      </c>
      <c r="D218">
        <v>250</v>
      </c>
      <c r="F218">
        <v>110</v>
      </c>
      <c r="G218">
        <v>20.475000000000001</v>
      </c>
      <c r="H218">
        <f t="shared" si="21"/>
        <v>1220</v>
      </c>
      <c r="I218">
        <v>6.9121950000000003E-3</v>
      </c>
      <c r="J218">
        <v>277</v>
      </c>
      <c r="K218">
        <f t="shared" si="19"/>
        <v>0.27763689101809258</v>
      </c>
      <c r="L218">
        <f t="shared" si="20"/>
        <v>372.58870774628025</v>
      </c>
    </row>
    <row r="219" spans="1:12" x14ac:dyDescent="0.6">
      <c r="A219">
        <v>218</v>
      </c>
      <c r="B219" t="s">
        <v>15</v>
      </c>
      <c r="C219" t="s">
        <v>7</v>
      </c>
      <c r="D219">
        <v>250</v>
      </c>
      <c r="F219">
        <v>108</v>
      </c>
      <c r="G219">
        <v>19.725000000000001</v>
      </c>
      <c r="H219">
        <f t="shared" si="21"/>
        <v>1216</v>
      </c>
      <c r="I219">
        <v>1.9946620000000002E-2</v>
      </c>
      <c r="J219">
        <v>358</v>
      </c>
      <c r="K219">
        <f t="shared" si="19"/>
        <v>0.39141930595053714</v>
      </c>
      <c r="L219">
        <f t="shared" si="20"/>
        <v>514.04314611872144</v>
      </c>
    </row>
    <row r="220" spans="1:12" x14ac:dyDescent="0.6">
      <c r="A220">
        <v>219</v>
      </c>
      <c r="B220" t="s">
        <v>15</v>
      </c>
      <c r="C220" t="s">
        <v>7</v>
      </c>
      <c r="D220">
        <v>250</v>
      </c>
      <c r="F220">
        <v>112</v>
      </c>
      <c r="G220">
        <v>21.975000000000001</v>
      </c>
      <c r="H220">
        <f t="shared" si="21"/>
        <v>1224</v>
      </c>
      <c r="I220">
        <v>4.4061609999999996E-3</v>
      </c>
      <c r="J220">
        <v>207</v>
      </c>
      <c r="K220">
        <f t="shared" si="19"/>
        <v>0.24349727083985098</v>
      </c>
      <c r="L220">
        <f t="shared" si="20"/>
        <v>333.80553864893488</v>
      </c>
    </row>
    <row r="221" spans="1:12" x14ac:dyDescent="0.6">
      <c r="A221">
        <v>220</v>
      </c>
      <c r="B221" t="s">
        <v>15</v>
      </c>
      <c r="C221" t="s">
        <v>7</v>
      </c>
      <c r="D221">
        <v>250</v>
      </c>
      <c r="F221">
        <v>110</v>
      </c>
      <c r="G221">
        <v>19.725000000000001</v>
      </c>
      <c r="H221">
        <f t="shared" si="21"/>
        <v>1220</v>
      </c>
      <c r="I221">
        <v>6.9096610000000001E-3</v>
      </c>
      <c r="J221">
        <v>228</v>
      </c>
      <c r="K221">
        <f t="shared" si="19"/>
        <v>0.27420561675080118</v>
      </c>
      <c r="L221">
        <f t="shared" si="20"/>
        <v>367.98393767957526</v>
      </c>
    </row>
    <row r="222" spans="1:12" x14ac:dyDescent="0.6">
      <c r="A222">
        <v>221</v>
      </c>
      <c r="B222" t="s">
        <v>15</v>
      </c>
      <c r="C222" t="s">
        <v>7</v>
      </c>
      <c r="D222">
        <v>175</v>
      </c>
      <c r="F222">
        <v>110</v>
      </c>
      <c r="G222">
        <v>21.15</v>
      </c>
      <c r="H222">
        <f t="shared" si="21"/>
        <v>920</v>
      </c>
      <c r="I222">
        <v>1.2937238E-2</v>
      </c>
      <c r="J222">
        <v>265</v>
      </c>
      <c r="K222">
        <f t="shared" si="19"/>
        <v>0.34511206964403379</v>
      </c>
      <c r="L222">
        <f t="shared" si="20"/>
        <v>349.25341447976211</v>
      </c>
    </row>
    <row r="223" spans="1:12" x14ac:dyDescent="0.6">
      <c r="A223">
        <v>222</v>
      </c>
      <c r="B223" t="s">
        <v>15</v>
      </c>
      <c r="C223" t="s">
        <v>7</v>
      </c>
      <c r="D223">
        <v>175</v>
      </c>
      <c r="F223">
        <v>110</v>
      </c>
      <c r="G223">
        <v>21.15</v>
      </c>
      <c r="H223">
        <f t="shared" si="21"/>
        <v>920</v>
      </c>
      <c r="I223">
        <v>1.9614521999999999E-2</v>
      </c>
      <c r="J223">
        <v>275</v>
      </c>
      <c r="K223">
        <f t="shared" si="19"/>
        <v>0.39591602581460117</v>
      </c>
      <c r="L223">
        <f t="shared" si="20"/>
        <v>400.6670181243764</v>
      </c>
    </row>
    <row r="224" spans="1:12" x14ac:dyDescent="0.6">
      <c r="A224">
        <v>223</v>
      </c>
      <c r="B224" s="2" t="s">
        <v>91</v>
      </c>
      <c r="C224" t="s">
        <v>10</v>
      </c>
      <c r="D224">
        <v>250</v>
      </c>
      <c r="F224">
        <v>200</v>
      </c>
      <c r="G224">
        <v>22.725000000000001</v>
      </c>
      <c r="H224">
        <f t="shared" ref="H224:H231" si="22">PI()*(D224+F224)</f>
        <v>1413.7166941154069</v>
      </c>
      <c r="I224">
        <v>4.2295190000000002E-3</v>
      </c>
      <c r="J224">
        <v>603</v>
      </c>
      <c r="K224">
        <f t="shared" si="19"/>
        <v>0.20060511551412633</v>
      </c>
      <c r="L224">
        <f t="shared" si="20"/>
        <v>567.19760145453995</v>
      </c>
    </row>
    <row r="225" spans="1:12" x14ac:dyDescent="0.6">
      <c r="A225">
        <v>224</v>
      </c>
      <c r="B225" s="2" t="s">
        <v>91</v>
      </c>
      <c r="C225" t="s">
        <v>10</v>
      </c>
      <c r="D225">
        <v>250</v>
      </c>
      <c r="F225">
        <v>199</v>
      </c>
      <c r="G225">
        <v>21.45</v>
      </c>
      <c r="H225">
        <f t="shared" si="22"/>
        <v>1410.5751014618172</v>
      </c>
      <c r="I225">
        <v>6.904599E-3</v>
      </c>
      <c r="J225">
        <v>600</v>
      </c>
      <c r="K225">
        <f t="shared" si="19"/>
        <v>0.23175268747192362</v>
      </c>
      <c r="L225">
        <f t="shared" si="20"/>
        <v>650.54009558306734</v>
      </c>
    </row>
    <row r="226" spans="1:12" x14ac:dyDescent="0.6">
      <c r="A226">
        <v>225</v>
      </c>
      <c r="B226" s="2" t="s">
        <v>91</v>
      </c>
      <c r="C226" t="s">
        <v>10</v>
      </c>
      <c r="D226">
        <v>250</v>
      </c>
      <c r="F226">
        <v>200</v>
      </c>
      <c r="G226">
        <v>23.774999999999999</v>
      </c>
      <c r="H226">
        <f t="shared" si="22"/>
        <v>1413.7166941154069</v>
      </c>
      <c r="I226">
        <v>1.2822827E-2</v>
      </c>
      <c r="J226">
        <v>489</v>
      </c>
      <c r="K226">
        <f t="shared" si="19"/>
        <v>0.29361221377898816</v>
      </c>
      <c r="L226">
        <f t="shared" si="20"/>
        <v>830.1689764310745</v>
      </c>
    </row>
    <row r="227" spans="1:12" x14ac:dyDescent="0.6">
      <c r="A227">
        <v>226</v>
      </c>
      <c r="B227" s="2" t="s">
        <v>91</v>
      </c>
      <c r="C227" t="s">
        <v>10</v>
      </c>
      <c r="D227">
        <v>250</v>
      </c>
      <c r="F227">
        <v>197</v>
      </c>
      <c r="G227">
        <v>22.65</v>
      </c>
      <c r="H227">
        <f t="shared" si="22"/>
        <v>1404.2919161546374</v>
      </c>
      <c r="I227">
        <v>1.9703368999999998E-2</v>
      </c>
      <c r="J227">
        <v>444</v>
      </c>
      <c r="K227">
        <f t="shared" si="19"/>
        <v>0.33462363274696072</v>
      </c>
      <c r="L227">
        <f t="shared" si="20"/>
        <v>925.72124696908463</v>
      </c>
    </row>
    <row r="228" spans="1:12" x14ac:dyDescent="0.6">
      <c r="A228">
        <v>227</v>
      </c>
      <c r="B228" s="2" t="s">
        <v>91</v>
      </c>
      <c r="C228" t="s">
        <v>10</v>
      </c>
      <c r="D228">
        <v>125</v>
      </c>
      <c r="F228">
        <v>100</v>
      </c>
      <c r="G228">
        <v>26.774999999999999</v>
      </c>
      <c r="H228">
        <f t="shared" si="22"/>
        <v>706.85834705770344</v>
      </c>
      <c r="I228">
        <v>4.2279379999999997E-3</v>
      </c>
      <c r="J228">
        <v>216</v>
      </c>
      <c r="K228">
        <f t="shared" si="19"/>
        <v>0.26615385677889813</v>
      </c>
      <c r="L228">
        <f t="shared" si="20"/>
        <v>188.13307526576466</v>
      </c>
    </row>
    <row r="229" spans="1:12" x14ac:dyDescent="0.6">
      <c r="A229">
        <v>228</v>
      </c>
      <c r="B229" s="2" t="s">
        <v>91</v>
      </c>
      <c r="C229" t="s">
        <v>10</v>
      </c>
      <c r="D229">
        <v>125</v>
      </c>
      <c r="F229">
        <v>99</v>
      </c>
      <c r="G229">
        <v>21.45</v>
      </c>
      <c r="H229">
        <f t="shared" si="22"/>
        <v>703.71675440411366</v>
      </c>
      <c r="I229">
        <v>6.8635349999999996E-3</v>
      </c>
      <c r="J229">
        <v>194</v>
      </c>
      <c r="K229">
        <f t="shared" si="19"/>
        <v>0.29122709577770195</v>
      </c>
      <c r="L229">
        <f t="shared" si="20"/>
        <v>202.89197276886819</v>
      </c>
    </row>
    <row r="230" spans="1:12" x14ac:dyDescent="0.6">
      <c r="A230">
        <v>229</v>
      </c>
      <c r="B230" s="2" t="s">
        <v>91</v>
      </c>
      <c r="C230" t="s">
        <v>10</v>
      </c>
      <c r="D230">
        <v>125</v>
      </c>
      <c r="F230">
        <v>98</v>
      </c>
      <c r="G230">
        <v>24.975000000000001</v>
      </c>
      <c r="H230">
        <f t="shared" si="22"/>
        <v>700.57516175052388</v>
      </c>
      <c r="I230">
        <v>1.2890054E-2</v>
      </c>
      <c r="J230">
        <v>145</v>
      </c>
      <c r="K230">
        <f t="shared" si="19"/>
        <v>0.37828216539552817</v>
      </c>
      <c r="L230">
        <f t="shared" si="20"/>
        <v>259.71478742512437</v>
      </c>
    </row>
    <row r="231" spans="1:12" x14ac:dyDescent="0.6">
      <c r="A231">
        <v>230</v>
      </c>
      <c r="B231" s="2" t="s">
        <v>91</v>
      </c>
      <c r="C231" t="s">
        <v>10</v>
      </c>
      <c r="D231">
        <v>125</v>
      </c>
      <c r="F231">
        <v>99</v>
      </c>
      <c r="G231">
        <v>23.55</v>
      </c>
      <c r="H231">
        <f t="shared" si="22"/>
        <v>703.71675440411366</v>
      </c>
      <c r="I231">
        <v>1.9573785999999999E-2</v>
      </c>
      <c r="J231">
        <v>148</v>
      </c>
      <c r="K231">
        <f t="shared" si="19"/>
        <v>0.42443352128875167</v>
      </c>
      <c r="L231">
        <f t="shared" si="20"/>
        <v>295.69417026101331</v>
      </c>
    </row>
    <row r="232" spans="1:12" x14ac:dyDescent="0.6">
      <c r="A232">
        <v>231</v>
      </c>
      <c r="B232" s="1" t="s">
        <v>30</v>
      </c>
      <c r="C232" t="s">
        <v>7</v>
      </c>
      <c r="D232">
        <v>100</v>
      </c>
      <c r="F232">
        <v>40.5</v>
      </c>
      <c r="G232">
        <v>28.8</v>
      </c>
      <c r="H232">
        <f t="shared" ref="H232:H265" si="23">4*D232+2*F232</f>
        <v>481</v>
      </c>
      <c r="I232">
        <v>1.2046438E-2</v>
      </c>
      <c r="J232">
        <v>36</v>
      </c>
      <c r="K232">
        <f t="shared" si="19"/>
        <v>0.51901787113939102</v>
      </c>
      <c r="L232">
        <f t="shared" si="20"/>
        <v>101.10727638730907</v>
      </c>
    </row>
    <row r="233" spans="1:12" x14ac:dyDescent="0.6">
      <c r="A233">
        <v>232</v>
      </c>
      <c r="B233" s="1" t="s">
        <v>30</v>
      </c>
      <c r="C233" t="s">
        <v>7</v>
      </c>
      <c r="D233">
        <v>100</v>
      </c>
      <c r="F233">
        <v>40.5</v>
      </c>
      <c r="G233">
        <v>28.8</v>
      </c>
      <c r="H233">
        <f t="shared" si="23"/>
        <v>481</v>
      </c>
      <c r="I233">
        <v>9.2074819999999995E-3</v>
      </c>
      <c r="J233">
        <v>49</v>
      </c>
      <c r="K233">
        <f t="shared" si="19"/>
        <v>0.47496919928003078</v>
      </c>
      <c r="L233">
        <f t="shared" si="20"/>
        <v>92.526374865746405</v>
      </c>
    </row>
    <row r="234" spans="1:12" x14ac:dyDescent="0.6">
      <c r="A234">
        <v>233</v>
      </c>
      <c r="B234" s="1" t="s">
        <v>30</v>
      </c>
      <c r="C234" t="s">
        <v>7</v>
      </c>
      <c r="D234">
        <v>100</v>
      </c>
      <c r="F234">
        <v>40.5</v>
      </c>
      <c r="G234">
        <v>28.8</v>
      </c>
      <c r="H234">
        <f t="shared" si="23"/>
        <v>481</v>
      </c>
      <c r="I234">
        <v>7.50842E-3</v>
      </c>
      <c r="J234">
        <v>57</v>
      </c>
      <c r="K234">
        <f t="shared" si="19"/>
        <v>0.44404806475618308</v>
      </c>
      <c r="L234">
        <f t="shared" si="20"/>
        <v>86.502783254828245</v>
      </c>
    </row>
    <row r="235" spans="1:12" x14ac:dyDescent="0.6">
      <c r="A235">
        <v>234</v>
      </c>
      <c r="B235" s="1" t="s">
        <v>30</v>
      </c>
      <c r="C235" t="s">
        <v>7</v>
      </c>
      <c r="D235">
        <v>100</v>
      </c>
      <c r="F235">
        <v>40.5</v>
      </c>
      <c r="G235">
        <v>32.625</v>
      </c>
      <c r="H235">
        <f t="shared" si="23"/>
        <v>481</v>
      </c>
      <c r="I235">
        <v>7.9735889999999997E-3</v>
      </c>
      <c r="J235">
        <v>56</v>
      </c>
      <c r="K235">
        <f t="shared" si="19"/>
        <v>0.47197269868849784</v>
      </c>
      <c r="L235">
        <f t="shared" si="20"/>
        <v>91.942641568012817</v>
      </c>
    </row>
    <row r="236" spans="1:12" x14ac:dyDescent="0.6">
      <c r="A236">
        <v>235</v>
      </c>
      <c r="B236" s="1" t="s">
        <v>30</v>
      </c>
      <c r="C236" t="s">
        <v>7</v>
      </c>
      <c r="D236">
        <v>100</v>
      </c>
      <c r="F236">
        <v>40.5</v>
      </c>
      <c r="G236">
        <v>32.625</v>
      </c>
      <c r="H236">
        <f t="shared" si="23"/>
        <v>481</v>
      </c>
      <c r="I236">
        <v>1.0471975999999999E-2</v>
      </c>
      <c r="J236">
        <v>57</v>
      </c>
      <c r="K236">
        <f t="shared" si="19"/>
        <v>0.51639325256896818</v>
      </c>
      <c r="L236">
        <f t="shared" si="20"/>
        <v>100.59598756669784</v>
      </c>
    </row>
    <row r="237" spans="1:12" x14ac:dyDescent="0.6">
      <c r="A237">
        <v>236</v>
      </c>
      <c r="B237" s="1" t="s">
        <v>30</v>
      </c>
      <c r="C237" t="s">
        <v>7</v>
      </c>
      <c r="D237">
        <v>100</v>
      </c>
      <c r="F237">
        <v>40.5</v>
      </c>
      <c r="G237">
        <v>32.625</v>
      </c>
      <c r="H237">
        <f t="shared" si="23"/>
        <v>481</v>
      </c>
      <c r="I237">
        <v>1.0471975999999999E-2</v>
      </c>
      <c r="J237">
        <v>66</v>
      </c>
      <c r="K237">
        <f t="shared" si="19"/>
        <v>0.51639325256896818</v>
      </c>
      <c r="L237">
        <f t="shared" si="20"/>
        <v>100.59598756669784</v>
      </c>
    </row>
    <row r="238" spans="1:12" x14ac:dyDescent="0.6">
      <c r="A238">
        <v>237</v>
      </c>
      <c r="B238" s="1" t="s">
        <v>30</v>
      </c>
      <c r="C238" t="s">
        <v>7</v>
      </c>
      <c r="D238">
        <v>100</v>
      </c>
      <c r="F238">
        <v>40.5</v>
      </c>
      <c r="G238">
        <v>27.824999999999999</v>
      </c>
      <c r="H238">
        <f t="shared" si="23"/>
        <v>481</v>
      </c>
      <c r="I238">
        <v>1.0471975999999999E-2</v>
      </c>
      <c r="J238">
        <v>71</v>
      </c>
      <c r="K238">
        <f t="shared" si="19"/>
        <v>0.4899733897515321</v>
      </c>
      <c r="L238">
        <f t="shared" si="20"/>
        <v>95.44926619054722</v>
      </c>
    </row>
    <row r="239" spans="1:12" x14ac:dyDescent="0.6">
      <c r="A239">
        <v>238</v>
      </c>
      <c r="B239" s="1" t="s">
        <v>30</v>
      </c>
      <c r="C239" t="s">
        <v>7</v>
      </c>
      <c r="D239">
        <v>100</v>
      </c>
      <c r="F239">
        <v>40.5</v>
      </c>
      <c r="G239">
        <v>27.824999999999999</v>
      </c>
      <c r="H239">
        <f t="shared" si="23"/>
        <v>481</v>
      </c>
      <c r="I239">
        <v>1.0471975999999999E-2</v>
      </c>
      <c r="J239">
        <v>71</v>
      </c>
      <c r="K239">
        <f t="shared" si="19"/>
        <v>0.4899733897515321</v>
      </c>
      <c r="L239">
        <f t="shared" si="20"/>
        <v>95.44926619054722</v>
      </c>
    </row>
    <row r="240" spans="1:12" x14ac:dyDescent="0.6">
      <c r="A240">
        <v>239</v>
      </c>
      <c r="B240" s="1" t="s">
        <v>30</v>
      </c>
      <c r="C240" t="s">
        <v>7</v>
      </c>
      <c r="D240">
        <v>100</v>
      </c>
      <c r="F240">
        <v>40.5</v>
      </c>
      <c r="G240">
        <v>27.824999999999999</v>
      </c>
      <c r="H240">
        <f t="shared" si="23"/>
        <v>481</v>
      </c>
      <c r="I240">
        <v>1.0471975999999999E-2</v>
      </c>
      <c r="J240">
        <v>79</v>
      </c>
      <c r="K240">
        <f t="shared" si="19"/>
        <v>0.4899733897515321</v>
      </c>
      <c r="L240">
        <f t="shared" si="20"/>
        <v>95.44926619054722</v>
      </c>
    </row>
    <row r="241" spans="1:12" x14ac:dyDescent="0.6">
      <c r="A241">
        <v>240</v>
      </c>
      <c r="B241" s="1" t="s">
        <v>30</v>
      </c>
      <c r="C241" t="s">
        <v>7</v>
      </c>
      <c r="D241">
        <v>100</v>
      </c>
      <c r="F241">
        <v>40.5</v>
      </c>
      <c r="G241">
        <v>28.05</v>
      </c>
      <c r="H241">
        <f t="shared" si="23"/>
        <v>481</v>
      </c>
      <c r="I241">
        <v>1.0471975999999999E-2</v>
      </c>
      <c r="J241">
        <v>44</v>
      </c>
      <c r="K241">
        <f t="shared" si="19"/>
        <v>0.49127733995478351</v>
      </c>
      <c r="L241">
        <f t="shared" si="20"/>
        <v>95.703282209891597</v>
      </c>
    </row>
    <row r="242" spans="1:12" x14ac:dyDescent="0.6">
      <c r="A242">
        <v>241</v>
      </c>
      <c r="B242" s="1" t="s">
        <v>30</v>
      </c>
      <c r="C242" t="s">
        <v>7</v>
      </c>
      <c r="D242">
        <v>100</v>
      </c>
      <c r="F242">
        <v>40.5</v>
      </c>
      <c r="G242">
        <v>28.05</v>
      </c>
      <c r="H242">
        <f t="shared" si="23"/>
        <v>481</v>
      </c>
      <c r="I242">
        <v>8.7266459999999994E-3</v>
      </c>
      <c r="J242">
        <v>55</v>
      </c>
      <c r="K242">
        <f t="shared" si="19"/>
        <v>0.46259071420189324</v>
      </c>
      <c r="L242">
        <f t="shared" si="20"/>
        <v>90.114984080099802</v>
      </c>
    </row>
    <row r="243" spans="1:12" x14ac:dyDescent="0.6">
      <c r="A243">
        <v>242</v>
      </c>
      <c r="B243" s="1" t="s">
        <v>30</v>
      </c>
      <c r="C243" t="s">
        <v>7</v>
      </c>
      <c r="D243">
        <v>100</v>
      </c>
      <c r="F243">
        <v>40.5</v>
      </c>
      <c r="G243">
        <v>28.05</v>
      </c>
      <c r="H243">
        <f t="shared" si="23"/>
        <v>481</v>
      </c>
      <c r="I243">
        <v>8.7266459999999994E-3</v>
      </c>
      <c r="J243">
        <v>67</v>
      </c>
      <c r="K243">
        <f t="shared" si="19"/>
        <v>0.46259071420189324</v>
      </c>
      <c r="L243">
        <f t="shared" si="20"/>
        <v>90.114984080099802</v>
      </c>
    </row>
    <row r="244" spans="1:12" x14ac:dyDescent="0.6">
      <c r="A244">
        <v>243</v>
      </c>
      <c r="B244" s="1" t="s">
        <v>30</v>
      </c>
      <c r="C244" t="s">
        <v>7</v>
      </c>
      <c r="D244">
        <v>100</v>
      </c>
      <c r="F244">
        <v>40.5</v>
      </c>
      <c r="G244">
        <v>31.875</v>
      </c>
      <c r="H244">
        <f t="shared" si="23"/>
        <v>481</v>
      </c>
      <c r="I244">
        <v>8.7266459999999994E-3</v>
      </c>
      <c r="J244">
        <v>49</v>
      </c>
      <c r="K244">
        <f t="shared" si="19"/>
        <v>0.48252256625844742</v>
      </c>
      <c r="L244">
        <f t="shared" si="20"/>
        <v>93.997808519976843</v>
      </c>
    </row>
    <row r="245" spans="1:12" x14ac:dyDescent="0.6">
      <c r="A245">
        <v>244</v>
      </c>
      <c r="B245" s="1" t="s">
        <v>30</v>
      </c>
      <c r="C245" t="s">
        <v>7</v>
      </c>
      <c r="D245">
        <v>100</v>
      </c>
      <c r="F245">
        <v>40.5</v>
      </c>
      <c r="G245">
        <v>31.875</v>
      </c>
      <c r="H245">
        <f t="shared" si="23"/>
        <v>481</v>
      </c>
      <c r="I245">
        <v>1.6249617000000001E-2</v>
      </c>
      <c r="J245">
        <v>52</v>
      </c>
      <c r="K245">
        <f t="shared" si="19"/>
        <v>0.59240161400340963</v>
      </c>
      <c r="L245">
        <f t="shared" si="20"/>
        <v>115.4027964159342</v>
      </c>
    </row>
    <row r="246" spans="1:12" x14ac:dyDescent="0.6">
      <c r="A246">
        <v>245</v>
      </c>
      <c r="B246" s="1" t="s">
        <v>30</v>
      </c>
      <c r="C246" t="s">
        <v>7</v>
      </c>
      <c r="D246">
        <v>100</v>
      </c>
      <c r="F246">
        <v>40.5</v>
      </c>
      <c r="G246">
        <v>31.875</v>
      </c>
      <c r="H246">
        <f t="shared" si="23"/>
        <v>481</v>
      </c>
      <c r="I246">
        <v>1.6249617000000001E-2</v>
      </c>
      <c r="J246">
        <v>85</v>
      </c>
      <c r="K246">
        <f t="shared" si="19"/>
        <v>0.59240161400340963</v>
      </c>
      <c r="L246">
        <f t="shared" si="20"/>
        <v>115.4027964159342</v>
      </c>
    </row>
    <row r="247" spans="1:12" x14ac:dyDescent="0.6">
      <c r="A247">
        <v>246</v>
      </c>
      <c r="B247" s="1" t="s">
        <v>30</v>
      </c>
      <c r="C247" t="s">
        <v>7</v>
      </c>
      <c r="D247">
        <v>100</v>
      </c>
      <c r="F247">
        <v>46.5</v>
      </c>
      <c r="G247">
        <v>27</v>
      </c>
      <c r="H247">
        <f t="shared" si="23"/>
        <v>493</v>
      </c>
      <c r="I247">
        <v>1.6249617000000001E-2</v>
      </c>
      <c r="J247">
        <v>45</v>
      </c>
      <c r="K247">
        <f t="shared" si="19"/>
        <v>0.53583168961208139</v>
      </c>
      <c r="L247">
        <f t="shared" si="20"/>
        <v>122.83673568512158</v>
      </c>
    </row>
    <row r="248" spans="1:12" x14ac:dyDescent="0.6">
      <c r="A248">
        <v>247</v>
      </c>
      <c r="B248" s="1" t="s">
        <v>30</v>
      </c>
      <c r="C248" t="s">
        <v>7</v>
      </c>
      <c r="D248">
        <v>100</v>
      </c>
      <c r="F248">
        <v>46.5</v>
      </c>
      <c r="G248">
        <v>27</v>
      </c>
      <c r="H248">
        <f t="shared" si="23"/>
        <v>493</v>
      </c>
      <c r="I248">
        <v>1.3962634E-2</v>
      </c>
      <c r="J248">
        <v>66</v>
      </c>
      <c r="K248">
        <f t="shared" si="19"/>
        <v>0.50967037293114492</v>
      </c>
      <c r="L248">
        <f t="shared" si="20"/>
        <v>116.83938464260032</v>
      </c>
    </row>
    <row r="249" spans="1:12" x14ac:dyDescent="0.6">
      <c r="A249">
        <v>248</v>
      </c>
      <c r="B249" s="1" t="s">
        <v>30</v>
      </c>
      <c r="C249" t="s">
        <v>7</v>
      </c>
      <c r="D249">
        <v>100</v>
      </c>
      <c r="F249">
        <v>46.5</v>
      </c>
      <c r="G249">
        <v>27</v>
      </c>
      <c r="H249">
        <f t="shared" si="23"/>
        <v>493</v>
      </c>
      <c r="I249">
        <v>1.3962634E-2</v>
      </c>
      <c r="J249">
        <v>90</v>
      </c>
      <c r="K249">
        <f t="shared" si="19"/>
        <v>0.50967037293114492</v>
      </c>
      <c r="L249">
        <f t="shared" si="20"/>
        <v>116.83938464260032</v>
      </c>
    </row>
    <row r="250" spans="1:12" x14ac:dyDescent="0.6">
      <c r="A250">
        <v>249</v>
      </c>
      <c r="B250" s="1" t="s">
        <v>30</v>
      </c>
      <c r="C250" t="s">
        <v>7</v>
      </c>
      <c r="D250">
        <v>100</v>
      </c>
      <c r="F250">
        <v>46.5</v>
      </c>
      <c r="G250">
        <v>28.95</v>
      </c>
      <c r="H250">
        <f t="shared" si="23"/>
        <v>493</v>
      </c>
      <c r="I250">
        <v>1.3962634E-2</v>
      </c>
      <c r="J250">
        <v>97</v>
      </c>
      <c r="K250">
        <f t="shared" si="19"/>
        <v>0.52153489800589792</v>
      </c>
      <c r="L250">
        <f t="shared" si="20"/>
        <v>119.55926769336207</v>
      </c>
    </row>
    <row r="251" spans="1:12" x14ac:dyDescent="0.6">
      <c r="A251">
        <v>250</v>
      </c>
      <c r="B251" s="1" t="s">
        <v>30</v>
      </c>
      <c r="C251" t="s">
        <v>7</v>
      </c>
      <c r="D251">
        <v>100</v>
      </c>
      <c r="F251">
        <v>35</v>
      </c>
      <c r="G251">
        <v>35.325000000000003</v>
      </c>
      <c r="H251">
        <f t="shared" si="23"/>
        <v>470</v>
      </c>
      <c r="I251">
        <v>1.3962634E-2</v>
      </c>
      <c r="J251">
        <v>29</v>
      </c>
      <c r="K251">
        <f t="shared" si="19"/>
        <v>0.61167887618321404</v>
      </c>
      <c r="L251">
        <f t="shared" si="20"/>
        <v>100.6211751321387</v>
      </c>
    </row>
    <row r="252" spans="1:12" x14ac:dyDescent="0.6">
      <c r="A252">
        <v>251</v>
      </c>
      <c r="B252" s="1" t="s">
        <v>30</v>
      </c>
      <c r="C252" t="s">
        <v>7</v>
      </c>
      <c r="D252">
        <v>100</v>
      </c>
      <c r="F252">
        <v>35</v>
      </c>
      <c r="G252">
        <v>35.325000000000003</v>
      </c>
      <c r="H252">
        <f t="shared" si="23"/>
        <v>470</v>
      </c>
      <c r="I252">
        <v>8.4149800000000007E-3</v>
      </c>
      <c r="J252">
        <v>38</v>
      </c>
      <c r="K252">
        <f t="shared" si="19"/>
        <v>0.51754935894829202</v>
      </c>
      <c r="L252">
        <f t="shared" si="20"/>
        <v>85.136869546994035</v>
      </c>
    </row>
    <row r="253" spans="1:12" x14ac:dyDescent="0.6">
      <c r="A253">
        <v>252</v>
      </c>
      <c r="B253" s="1" t="s">
        <v>30</v>
      </c>
      <c r="C253" t="s">
        <v>7</v>
      </c>
      <c r="D253">
        <v>100</v>
      </c>
      <c r="F253">
        <v>35</v>
      </c>
      <c r="G253">
        <v>35.325000000000003</v>
      </c>
      <c r="H253">
        <f t="shared" si="23"/>
        <v>470</v>
      </c>
      <c r="I253">
        <v>8.4149800000000007E-3</v>
      </c>
      <c r="J253">
        <v>57</v>
      </c>
      <c r="K253">
        <f t="shared" si="19"/>
        <v>0.51754935894829202</v>
      </c>
      <c r="L253">
        <f t="shared" si="20"/>
        <v>85.136869546994035</v>
      </c>
    </row>
    <row r="254" spans="1:12" x14ac:dyDescent="0.6">
      <c r="A254">
        <v>253</v>
      </c>
      <c r="B254" s="1" t="s">
        <v>30</v>
      </c>
      <c r="C254" t="s">
        <v>7</v>
      </c>
      <c r="D254">
        <v>100</v>
      </c>
      <c r="F254">
        <v>35</v>
      </c>
      <c r="G254">
        <v>28.95</v>
      </c>
      <c r="H254">
        <f t="shared" si="23"/>
        <v>470</v>
      </c>
      <c r="I254">
        <v>8.4149800000000007E-3</v>
      </c>
      <c r="J254">
        <v>73</v>
      </c>
      <c r="K254">
        <f t="shared" si="19"/>
        <v>0.48465052350019699</v>
      </c>
      <c r="L254">
        <f t="shared" si="20"/>
        <v>79.725011115782408</v>
      </c>
    </row>
    <row r="255" spans="1:12" x14ac:dyDescent="0.6">
      <c r="A255">
        <v>254</v>
      </c>
      <c r="B255" s="1" t="s">
        <v>30</v>
      </c>
      <c r="C255" t="s">
        <v>7</v>
      </c>
      <c r="D255">
        <v>100</v>
      </c>
      <c r="F255">
        <v>53.5</v>
      </c>
      <c r="G255">
        <v>26.1</v>
      </c>
      <c r="H255">
        <f t="shared" si="23"/>
        <v>507</v>
      </c>
      <c r="I255">
        <v>8.4149800000000007E-3</v>
      </c>
      <c r="J255">
        <v>63</v>
      </c>
      <c r="K255">
        <f t="shared" si="19"/>
        <v>0.40715683777208966</v>
      </c>
      <c r="L255">
        <f t="shared" si="20"/>
        <v>110.43925646149046</v>
      </c>
    </row>
    <row r="256" spans="1:12" x14ac:dyDescent="0.6">
      <c r="A256">
        <v>255</v>
      </c>
      <c r="B256" s="1" t="s">
        <v>30</v>
      </c>
      <c r="C256" t="s">
        <v>7</v>
      </c>
      <c r="D256">
        <v>100</v>
      </c>
      <c r="F256">
        <v>53.5</v>
      </c>
      <c r="G256">
        <v>30.375</v>
      </c>
      <c r="H256">
        <f t="shared" si="23"/>
        <v>507</v>
      </c>
      <c r="I256">
        <v>8.4149800000000007E-3</v>
      </c>
      <c r="J256">
        <v>88</v>
      </c>
      <c r="K256">
        <f t="shared" si="19"/>
        <v>0.42805614882682053</v>
      </c>
      <c r="L256">
        <f t="shared" si="20"/>
        <v>116.10809008853093</v>
      </c>
    </row>
    <row r="257" spans="1:12" x14ac:dyDescent="0.6">
      <c r="A257">
        <v>256</v>
      </c>
      <c r="B257" s="1" t="s">
        <v>30</v>
      </c>
      <c r="C257" t="s">
        <v>7</v>
      </c>
      <c r="D257">
        <v>100</v>
      </c>
      <c r="F257">
        <v>53.5</v>
      </c>
      <c r="G257">
        <v>30.375</v>
      </c>
      <c r="H257">
        <f t="shared" si="23"/>
        <v>507</v>
      </c>
      <c r="I257">
        <v>1.4959965E-2</v>
      </c>
      <c r="J257">
        <v>124</v>
      </c>
      <c r="K257">
        <f t="shared" si="19"/>
        <v>0.51755953184149917</v>
      </c>
      <c r="L257">
        <f t="shared" si="20"/>
        <v>140.38543521434747</v>
      </c>
    </row>
    <row r="258" spans="1:12" x14ac:dyDescent="0.6">
      <c r="A258">
        <v>257</v>
      </c>
      <c r="B258" s="1" t="s">
        <v>30</v>
      </c>
      <c r="C258" t="s">
        <v>7</v>
      </c>
      <c r="D258">
        <v>100</v>
      </c>
      <c r="F258">
        <v>53.5</v>
      </c>
      <c r="G258">
        <v>26.1</v>
      </c>
      <c r="H258">
        <f t="shared" si="23"/>
        <v>507</v>
      </c>
      <c r="I258">
        <v>1.4959965E-2</v>
      </c>
      <c r="J258">
        <v>126</v>
      </c>
      <c r="K258">
        <f t="shared" si="19"/>
        <v>0.49229032901625835</v>
      </c>
      <c r="L258">
        <f t="shared" si="20"/>
        <v>133.53129029401501</v>
      </c>
    </row>
    <row r="259" spans="1:12" x14ac:dyDescent="0.6">
      <c r="A259">
        <v>258</v>
      </c>
      <c r="B259" s="2" t="s">
        <v>70</v>
      </c>
      <c r="C259" t="s">
        <v>7</v>
      </c>
      <c r="D259">
        <v>200</v>
      </c>
      <c r="F259">
        <v>77</v>
      </c>
      <c r="G259">
        <v>24.15</v>
      </c>
      <c r="H259">
        <f t="shared" si="23"/>
        <v>954</v>
      </c>
      <c r="I259">
        <v>1.4959965E-2</v>
      </c>
      <c r="J259">
        <v>194</v>
      </c>
      <c r="K259">
        <f t="shared" ref="K259:K322" si="24">(I259*G259*16/F259)^0.33</f>
        <v>0.42550767708710024</v>
      </c>
      <c r="L259">
        <f t="shared" ref="L259:L322" si="25">K259*H259*F259/100</f>
        <v>312.56942943464207</v>
      </c>
    </row>
    <row r="260" spans="1:12" x14ac:dyDescent="0.6">
      <c r="A260">
        <v>259</v>
      </c>
      <c r="B260" s="2" t="s">
        <v>70</v>
      </c>
      <c r="C260" t="s">
        <v>7</v>
      </c>
      <c r="D260">
        <v>200</v>
      </c>
      <c r="F260">
        <v>77</v>
      </c>
      <c r="G260">
        <v>21.975000000000001</v>
      </c>
      <c r="H260">
        <f t="shared" si="23"/>
        <v>954</v>
      </c>
      <c r="I260">
        <v>1.4959965E-2</v>
      </c>
      <c r="J260">
        <v>176</v>
      </c>
      <c r="K260">
        <f t="shared" si="24"/>
        <v>0.41245946789749977</v>
      </c>
      <c r="L260">
        <f t="shared" si="25"/>
        <v>302.98447592814534</v>
      </c>
    </row>
    <row r="261" spans="1:12" x14ac:dyDescent="0.6">
      <c r="A261">
        <v>260</v>
      </c>
      <c r="B261" s="2" t="s">
        <v>70</v>
      </c>
      <c r="C261" t="s">
        <v>7</v>
      </c>
      <c r="D261">
        <v>200</v>
      </c>
      <c r="F261">
        <v>77</v>
      </c>
      <c r="G261">
        <v>25.725000000000001</v>
      </c>
      <c r="H261">
        <f t="shared" si="23"/>
        <v>954</v>
      </c>
      <c r="I261">
        <v>1.4959965E-2</v>
      </c>
      <c r="J261">
        <v>194</v>
      </c>
      <c r="K261">
        <f t="shared" si="24"/>
        <v>0.43447222903279703</v>
      </c>
      <c r="L261">
        <f t="shared" si="25"/>
        <v>319.15461000291202</v>
      </c>
    </row>
    <row r="262" spans="1:12" x14ac:dyDescent="0.6">
      <c r="A262">
        <v>261</v>
      </c>
      <c r="B262" s="2" t="s">
        <v>70</v>
      </c>
      <c r="C262" t="s">
        <v>7</v>
      </c>
      <c r="D262">
        <v>200</v>
      </c>
      <c r="F262">
        <v>77</v>
      </c>
      <c r="G262">
        <v>30.3</v>
      </c>
      <c r="H262">
        <f t="shared" si="23"/>
        <v>954</v>
      </c>
      <c r="I262">
        <v>7.4799829999999999E-3</v>
      </c>
      <c r="J262">
        <v>194</v>
      </c>
      <c r="K262">
        <f t="shared" si="24"/>
        <v>0.36482191942207676</v>
      </c>
      <c r="L262">
        <f t="shared" si="25"/>
        <v>267.99088556906912</v>
      </c>
    </row>
    <row r="263" spans="1:12" x14ac:dyDescent="0.6">
      <c r="A263">
        <v>262</v>
      </c>
      <c r="B263" s="2" t="s">
        <v>70</v>
      </c>
      <c r="C263" t="s">
        <v>7</v>
      </c>
      <c r="D263">
        <v>200</v>
      </c>
      <c r="F263">
        <v>79</v>
      </c>
      <c r="G263">
        <v>26.4</v>
      </c>
      <c r="H263">
        <f t="shared" si="23"/>
        <v>958</v>
      </c>
      <c r="I263">
        <v>7.4799829999999999E-3</v>
      </c>
      <c r="J263">
        <v>165</v>
      </c>
      <c r="K263">
        <f t="shared" si="24"/>
        <v>0.34566797988673814</v>
      </c>
      <c r="L263">
        <f t="shared" si="25"/>
        <v>261.60844053788117</v>
      </c>
    </row>
    <row r="264" spans="1:12" x14ac:dyDescent="0.6">
      <c r="A264">
        <v>263</v>
      </c>
      <c r="B264" s="2" t="s">
        <v>70</v>
      </c>
      <c r="C264" t="s">
        <v>7</v>
      </c>
      <c r="D264">
        <v>200</v>
      </c>
      <c r="F264">
        <v>79</v>
      </c>
      <c r="G264">
        <v>20.55</v>
      </c>
      <c r="H264">
        <f t="shared" si="23"/>
        <v>958</v>
      </c>
      <c r="I264">
        <v>1.4959965E-2</v>
      </c>
      <c r="J264">
        <v>165</v>
      </c>
      <c r="K264">
        <f t="shared" si="24"/>
        <v>0.40003468399426284</v>
      </c>
      <c r="L264">
        <f t="shared" si="25"/>
        <v>302.75424954053796</v>
      </c>
    </row>
    <row r="265" spans="1:12" x14ac:dyDescent="0.6">
      <c r="A265">
        <v>264</v>
      </c>
      <c r="B265" s="2" t="s">
        <v>70</v>
      </c>
      <c r="C265" t="s">
        <v>7</v>
      </c>
      <c r="D265">
        <v>200</v>
      </c>
      <c r="F265">
        <v>79</v>
      </c>
      <c r="G265">
        <v>28.5</v>
      </c>
      <c r="H265">
        <f t="shared" si="23"/>
        <v>958</v>
      </c>
      <c r="I265">
        <v>1.4959965E-2</v>
      </c>
      <c r="J265">
        <v>186</v>
      </c>
      <c r="K265">
        <f t="shared" si="24"/>
        <v>0.44562397526673364</v>
      </c>
      <c r="L265">
        <f t="shared" si="25"/>
        <v>337.25713696136938</v>
      </c>
    </row>
    <row r="266" spans="1:12" x14ac:dyDescent="0.6">
      <c r="A266">
        <v>265</v>
      </c>
      <c r="B266" s="2" t="s">
        <v>70</v>
      </c>
      <c r="C266" t="s">
        <v>10</v>
      </c>
      <c r="D266">
        <v>250</v>
      </c>
      <c r="F266">
        <v>200</v>
      </c>
      <c r="G266">
        <v>32.700000000000003</v>
      </c>
      <c r="H266">
        <f t="shared" ref="H266:H277" si="26">PI()*(D266+F266)</f>
        <v>1413.7166941154069</v>
      </c>
      <c r="I266">
        <v>1.4959965E-2</v>
      </c>
      <c r="J266">
        <v>825</v>
      </c>
      <c r="K266">
        <f t="shared" si="24"/>
        <v>0.34320020978831306</v>
      </c>
      <c r="L266">
        <f t="shared" si="25"/>
        <v>970.37573200329609</v>
      </c>
    </row>
    <row r="267" spans="1:12" x14ac:dyDescent="0.6">
      <c r="A267">
        <v>266</v>
      </c>
      <c r="B267" s="2" t="s">
        <v>70</v>
      </c>
      <c r="C267" t="s">
        <v>10</v>
      </c>
      <c r="D267">
        <v>160</v>
      </c>
      <c r="F267">
        <v>128</v>
      </c>
      <c r="G267">
        <v>31.2</v>
      </c>
      <c r="H267">
        <f t="shared" si="26"/>
        <v>904.77868423386042</v>
      </c>
      <c r="I267">
        <v>1.4959965E-2</v>
      </c>
      <c r="J267">
        <v>390</v>
      </c>
      <c r="K267">
        <f t="shared" si="24"/>
        <v>0.39154205049445495</v>
      </c>
      <c r="L267">
        <f t="shared" si="25"/>
        <v>453.45139362380888</v>
      </c>
    </row>
    <row r="268" spans="1:12" x14ac:dyDescent="0.6">
      <c r="A268">
        <v>267</v>
      </c>
      <c r="B268" s="2" t="s">
        <v>70</v>
      </c>
      <c r="C268" t="s">
        <v>10</v>
      </c>
      <c r="D268">
        <v>160</v>
      </c>
      <c r="F268">
        <v>128</v>
      </c>
      <c r="G268">
        <v>32.174999999999997</v>
      </c>
      <c r="H268">
        <f t="shared" si="26"/>
        <v>904.77868423386042</v>
      </c>
      <c r="I268">
        <v>1.4959965E-2</v>
      </c>
      <c r="J268">
        <v>365</v>
      </c>
      <c r="K268">
        <f t="shared" si="24"/>
        <v>0.39553827774328076</v>
      </c>
      <c r="L268">
        <f t="shared" si="25"/>
        <v>458.07949120088676</v>
      </c>
    </row>
    <row r="269" spans="1:12" x14ac:dyDescent="0.6">
      <c r="A269">
        <v>268</v>
      </c>
      <c r="B269" s="2" t="s">
        <v>70</v>
      </c>
      <c r="C269" t="s">
        <v>10</v>
      </c>
      <c r="D269">
        <v>80</v>
      </c>
      <c r="F269">
        <v>64</v>
      </c>
      <c r="G269">
        <v>31.2</v>
      </c>
      <c r="H269">
        <f t="shared" si="26"/>
        <v>452.38934211693021</v>
      </c>
      <c r="I269">
        <v>1.4959965E-2</v>
      </c>
      <c r="J269">
        <v>117</v>
      </c>
      <c r="K269">
        <f t="shared" si="24"/>
        <v>0.49217359415923095</v>
      </c>
      <c r="L269">
        <f t="shared" si="25"/>
        <v>142.49861662017247</v>
      </c>
    </row>
    <row r="270" spans="1:12" x14ac:dyDescent="0.6">
      <c r="A270">
        <v>269</v>
      </c>
      <c r="B270" s="2" t="s">
        <v>70</v>
      </c>
      <c r="C270" t="s">
        <v>10</v>
      </c>
      <c r="D270">
        <v>80</v>
      </c>
      <c r="F270">
        <v>64</v>
      </c>
      <c r="G270">
        <v>32.174999999999997</v>
      </c>
      <c r="H270">
        <f t="shared" si="26"/>
        <v>452.38934211693021</v>
      </c>
      <c r="I270">
        <v>1.4959965E-2</v>
      </c>
      <c r="J270">
        <v>105</v>
      </c>
      <c r="K270">
        <f t="shared" si="24"/>
        <v>0.49719690525863358</v>
      </c>
      <c r="L270">
        <f t="shared" si="25"/>
        <v>143.95301175841723</v>
      </c>
    </row>
    <row r="271" spans="1:12" x14ac:dyDescent="0.6">
      <c r="A271">
        <v>270</v>
      </c>
      <c r="B271" s="2" t="s">
        <v>70</v>
      </c>
      <c r="C271" t="s">
        <v>10</v>
      </c>
      <c r="D271">
        <v>80</v>
      </c>
      <c r="F271">
        <v>64</v>
      </c>
      <c r="G271">
        <v>33.9</v>
      </c>
      <c r="H271">
        <f t="shared" si="26"/>
        <v>452.38934211693021</v>
      </c>
      <c r="I271">
        <v>9.424778E-3</v>
      </c>
      <c r="J271">
        <v>105</v>
      </c>
      <c r="K271">
        <f t="shared" si="24"/>
        <v>0.43430574666070526</v>
      </c>
      <c r="L271">
        <f t="shared" si="25"/>
        <v>125.74418624604071</v>
      </c>
    </row>
    <row r="272" spans="1:12" x14ac:dyDescent="0.6">
      <c r="A272">
        <v>271</v>
      </c>
      <c r="B272" s="2" t="s">
        <v>70</v>
      </c>
      <c r="C272" t="s">
        <v>10</v>
      </c>
      <c r="D272">
        <v>150</v>
      </c>
      <c r="F272">
        <v>95</v>
      </c>
      <c r="G272">
        <v>21.75</v>
      </c>
      <c r="H272">
        <f t="shared" si="26"/>
        <v>769.69020012949932</v>
      </c>
      <c r="I272">
        <v>9.5199780000000001E-3</v>
      </c>
      <c r="J272">
        <v>197</v>
      </c>
      <c r="K272">
        <f t="shared" si="24"/>
        <v>0.33038644623512015</v>
      </c>
      <c r="L272">
        <f t="shared" si="25"/>
        <v>241.58044942664452</v>
      </c>
    </row>
    <row r="273" spans="1:12" x14ac:dyDescent="0.6">
      <c r="A273">
        <v>272</v>
      </c>
      <c r="B273" s="2" t="s">
        <v>70</v>
      </c>
      <c r="C273" t="s">
        <v>10</v>
      </c>
      <c r="D273">
        <v>150</v>
      </c>
      <c r="F273">
        <v>95</v>
      </c>
      <c r="G273">
        <v>8.9250000000000007</v>
      </c>
      <c r="H273">
        <f t="shared" si="26"/>
        <v>769.69020012949932</v>
      </c>
      <c r="I273">
        <v>8.3405110000000001E-3</v>
      </c>
      <c r="J273">
        <v>123</v>
      </c>
      <c r="K273">
        <f t="shared" si="24"/>
        <v>0.23572470251860672</v>
      </c>
      <c r="L273">
        <f t="shared" si="25"/>
        <v>172.36324378416245</v>
      </c>
    </row>
    <row r="274" spans="1:12" x14ac:dyDescent="0.6">
      <c r="A274">
        <v>273</v>
      </c>
      <c r="B274" s="2" t="s">
        <v>70</v>
      </c>
      <c r="C274" t="s">
        <v>10</v>
      </c>
      <c r="D274">
        <v>150</v>
      </c>
      <c r="F274">
        <v>95</v>
      </c>
      <c r="G274">
        <v>35.475000000000001</v>
      </c>
      <c r="H274">
        <f t="shared" si="26"/>
        <v>769.69020012949932</v>
      </c>
      <c r="I274">
        <v>5.5702E-3</v>
      </c>
      <c r="J274">
        <v>214</v>
      </c>
      <c r="K274">
        <f t="shared" si="24"/>
        <v>0.32532883519792166</v>
      </c>
      <c r="L274">
        <f t="shared" si="25"/>
        <v>237.88229545781596</v>
      </c>
    </row>
    <row r="275" spans="1:12" x14ac:dyDescent="0.6">
      <c r="A275">
        <v>274</v>
      </c>
      <c r="B275" s="2" t="s">
        <v>70</v>
      </c>
      <c r="C275" t="s">
        <v>10</v>
      </c>
      <c r="D275">
        <v>150</v>
      </c>
      <c r="F275">
        <v>93</v>
      </c>
      <c r="G275">
        <v>11.175000000000001</v>
      </c>
      <c r="H275">
        <f t="shared" si="26"/>
        <v>763.40701482231975</v>
      </c>
      <c r="I275">
        <v>5.6612320000000004E-3</v>
      </c>
      <c r="J275">
        <v>154</v>
      </c>
      <c r="K275">
        <f t="shared" si="24"/>
        <v>0.22497927928222583</v>
      </c>
      <c r="L275">
        <f t="shared" si="25"/>
        <v>159.72820679416051</v>
      </c>
    </row>
    <row r="276" spans="1:12" x14ac:dyDescent="0.6">
      <c r="A276">
        <v>275</v>
      </c>
      <c r="B276" s="2" t="s">
        <v>70</v>
      </c>
      <c r="C276" t="s">
        <v>10</v>
      </c>
      <c r="D276">
        <v>150</v>
      </c>
      <c r="F276">
        <v>93</v>
      </c>
      <c r="G276">
        <v>25.125</v>
      </c>
      <c r="H276">
        <f t="shared" si="26"/>
        <v>763.40701482231975</v>
      </c>
      <c r="I276">
        <v>1.1758008E-2</v>
      </c>
      <c r="J276">
        <v>214</v>
      </c>
      <c r="K276">
        <f t="shared" si="24"/>
        <v>0.37411520761960537</v>
      </c>
      <c r="L276">
        <f t="shared" si="25"/>
        <v>265.61002167911926</v>
      </c>
    </row>
    <row r="277" spans="1:12" x14ac:dyDescent="0.6">
      <c r="A277">
        <v>276</v>
      </c>
      <c r="B277" s="2" t="s">
        <v>70</v>
      </c>
      <c r="C277" t="s">
        <v>10</v>
      </c>
      <c r="D277">
        <v>150</v>
      </c>
      <c r="F277">
        <v>93</v>
      </c>
      <c r="G277">
        <v>39.975000000000001</v>
      </c>
      <c r="H277">
        <f t="shared" si="26"/>
        <v>763.40701482231975</v>
      </c>
      <c r="I277">
        <v>1.7951958E-2</v>
      </c>
      <c r="J277">
        <v>248</v>
      </c>
      <c r="K277">
        <f t="shared" si="24"/>
        <v>0.50142654220748939</v>
      </c>
      <c r="L277">
        <f t="shared" si="25"/>
        <v>355.99706195754663</v>
      </c>
    </row>
    <row r="278" spans="1:12" x14ac:dyDescent="0.6">
      <c r="A278">
        <v>277</v>
      </c>
      <c r="B278" s="2" t="s">
        <v>70</v>
      </c>
      <c r="C278" t="s">
        <v>7</v>
      </c>
      <c r="D278">
        <v>160</v>
      </c>
      <c r="F278">
        <v>80</v>
      </c>
      <c r="G278">
        <v>24.524999999999999</v>
      </c>
      <c r="H278">
        <f t="shared" ref="H278:H281" si="27">4*D278+2*F278</f>
        <v>800</v>
      </c>
      <c r="I278">
        <v>1.7951958E-2</v>
      </c>
      <c r="J278">
        <v>190</v>
      </c>
      <c r="K278">
        <f t="shared" si="24"/>
        <v>0.44850550256250832</v>
      </c>
      <c r="L278">
        <f t="shared" si="25"/>
        <v>287.04352164000534</v>
      </c>
    </row>
    <row r="279" spans="1:12" x14ac:dyDescent="0.6">
      <c r="A279">
        <v>278</v>
      </c>
      <c r="B279" s="2" t="s">
        <v>70</v>
      </c>
      <c r="C279" t="s">
        <v>7</v>
      </c>
      <c r="D279">
        <v>160</v>
      </c>
      <c r="F279">
        <v>80</v>
      </c>
      <c r="G279">
        <v>31.875</v>
      </c>
      <c r="H279">
        <f t="shared" si="27"/>
        <v>800</v>
      </c>
      <c r="I279">
        <v>1.7951958E-2</v>
      </c>
      <c r="J279">
        <v>236</v>
      </c>
      <c r="K279">
        <f t="shared" si="24"/>
        <v>0.48902984463469146</v>
      </c>
      <c r="L279">
        <f t="shared" si="25"/>
        <v>312.97910056620253</v>
      </c>
    </row>
    <row r="280" spans="1:12" x14ac:dyDescent="0.6">
      <c r="A280">
        <v>279</v>
      </c>
      <c r="B280" s="2" t="s">
        <v>70</v>
      </c>
      <c r="C280" t="s">
        <v>7</v>
      </c>
      <c r="D280">
        <v>160</v>
      </c>
      <c r="F280">
        <v>80</v>
      </c>
      <c r="G280">
        <v>26.55</v>
      </c>
      <c r="H280">
        <f t="shared" si="27"/>
        <v>800</v>
      </c>
      <c r="I280">
        <v>1.7951958E-2</v>
      </c>
      <c r="J280">
        <v>248</v>
      </c>
      <c r="K280">
        <f t="shared" si="24"/>
        <v>0.46040294579900987</v>
      </c>
      <c r="L280">
        <f t="shared" si="25"/>
        <v>294.65788531136633</v>
      </c>
    </row>
    <row r="281" spans="1:12" x14ac:dyDescent="0.6">
      <c r="A281">
        <v>280</v>
      </c>
      <c r="B281" s="2" t="s">
        <v>70</v>
      </c>
      <c r="C281" t="s">
        <v>7</v>
      </c>
      <c r="D281">
        <v>160</v>
      </c>
      <c r="F281">
        <v>80</v>
      </c>
      <c r="G281">
        <v>29.324999999999999</v>
      </c>
      <c r="H281">
        <f t="shared" si="27"/>
        <v>800</v>
      </c>
      <c r="I281">
        <v>1.4829195999999999E-2</v>
      </c>
      <c r="J281">
        <v>262</v>
      </c>
      <c r="K281">
        <f t="shared" si="24"/>
        <v>0.44668076905753651</v>
      </c>
      <c r="L281">
        <f t="shared" si="25"/>
        <v>285.87569219682337</v>
      </c>
    </row>
    <row r="282" spans="1:12" x14ac:dyDescent="0.6">
      <c r="A282">
        <v>281</v>
      </c>
      <c r="B282" s="2" t="s">
        <v>70</v>
      </c>
      <c r="C282" t="s">
        <v>10</v>
      </c>
      <c r="D282">
        <v>54</v>
      </c>
      <c r="F282">
        <v>118</v>
      </c>
      <c r="G282">
        <v>32.174999999999997</v>
      </c>
      <c r="H282">
        <f t="shared" ref="H282:H284" si="28">PI()*(D282+F282)</f>
        <v>540.3539364174444</v>
      </c>
      <c r="I282">
        <v>7.9000000000000008E-3</v>
      </c>
      <c r="J282">
        <v>170</v>
      </c>
      <c r="K282">
        <f t="shared" si="24"/>
        <v>0.32910660263807628</v>
      </c>
      <c r="L282">
        <f t="shared" si="25"/>
        <v>209.84417691901837</v>
      </c>
    </row>
    <row r="283" spans="1:12" x14ac:dyDescent="0.6">
      <c r="A283">
        <v>282</v>
      </c>
      <c r="B283" s="2" t="s">
        <v>70</v>
      </c>
      <c r="C283" t="s">
        <v>10</v>
      </c>
      <c r="D283">
        <v>170</v>
      </c>
      <c r="F283">
        <v>118</v>
      </c>
      <c r="G283">
        <v>30.15</v>
      </c>
      <c r="H283">
        <f t="shared" si="28"/>
        <v>904.77868423386042</v>
      </c>
      <c r="I283">
        <v>7.7999999999999996E-3</v>
      </c>
      <c r="J283">
        <v>280</v>
      </c>
      <c r="K283">
        <f t="shared" si="24"/>
        <v>0.32077060642915473</v>
      </c>
      <c r="L283">
        <f t="shared" si="25"/>
        <v>342.46716052652437</v>
      </c>
    </row>
    <row r="284" spans="1:12" x14ac:dyDescent="0.6">
      <c r="A284">
        <v>283</v>
      </c>
      <c r="B284" s="2" t="s">
        <v>70</v>
      </c>
      <c r="C284" t="s">
        <v>10</v>
      </c>
      <c r="D284">
        <v>110</v>
      </c>
      <c r="F284">
        <v>118</v>
      </c>
      <c r="G284">
        <v>30.375</v>
      </c>
      <c r="H284">
        <f t="shared" si="28"/>
        <v>716.28312501847279</v>
      </c>
      <c r="I284">
        <v>1.54E-2</v>
      </c>
      <c r="J284">
        <v>265</v>
      </c>
      <c r="K284">
        <f t="shared" si="24"/>
        <v>0.40248596828208977</v>
      </c>
      <c r="L284">
        <f t="shared" si="25"/>
        <v>340.18681042187382</v>
      </c>
    </row>
    <row r="285" spans="1:12" x14ac:dyDescent="0.6">
      <c r="A285">
        <v>284</v>
      </c>
      <c r="B285" s="2" t="s">
        <v>70</v>
      </c>
      <c r="C285" t="s">
        <v>7</v>
      </c>
      <c r="D285">
        <v>102</v>
      </c>
      <c r="F285">
        <v>118</v>
      </c>
      <c r="G285">
        <v>33.975000000000001</v>
      </c>
      <c r="H285">
        <f>4*D285+2*F285</f>
        <v>644</v>
      </c>
      <c r="I285">
        <v>1.5599999999999999E-2</v>
      </c>
      <c r="J285">
        <v>285</v>
      </c>
      <c r="K285">
        <f t="shared" si="24"/>
        <v>0.41942302956427241</v>
      </c>
      <c r="L285">
        <f t="shared" si="25"/>
        <v>318.72794862648186</v>
      </c>
    </row>
    <row r="286" spans="1:12" x14ac:dyDescent="0.6">
      <c r="A286">
        <v>285</v>
      </c>
      <c r="B286" s="2" t="s">
        <v>70</v>
      </c>
      <c r="C286" t="s">
        <v>10</v>
      </c>
      <c r="D286">
        <v>150</v>
      </c>
      <c r="F286">
        <v>118</v>
      </c>
      <c r="G286">
        <v>30.824999999999999</v>
      </c>
      <c r="H286">
        <f>PI()*(D286+F286)</f>
        <v>841.94683116206454</v>
      </c>
      <c r="I286">
        <v>7.4999999999999997E-3</v>
      </c>
      <c r="J286">
        <v>285</v>
      </c>
      <c r="K286">
        <f t="shared" si="24"/>
        <v>0.31896774414808221</v>
      </c>
      <c r="L286">
        <f t="shared" si="25"/>
        <v>316.89358008550016</v>
      </c>
    </row>
    <row r="287" spans="1:12" x14ac:dyDescent="0.6">
      <c r="A287">
        <v>286</v>
      </c>
      <c r="B287" s="2" t="s">
        <v>71</v>
      </c>
      <c r="C287" t="s">
        <v>7</v>
      </c>
      <c r="D287">
        <v>150</v>
      </c>
      <c r="F287">
        <v>75</v>
      </c>
      <c r="G287">
        <v>21.524999999999999</v>
      </c>
      <c r="H287">
        <f t="shared" ref="H287:H302" si="29">4*D287+2*F287</f>
        <v>750</v>
      </c>
      <c r="I287">
        <v>7.7000000000000002E-3</v>
      </c>
      <c r="J287">
        <v>197</v>
      </c>
      <c r="K287">
        <f t="shared" si="24"/>
        <v>0.33189641357152966</v>
      </c>
      <c r="L287">
        <f t="shared" si="25"/>
        <v>186.69173263398545</v>
      </c>
    </row>
    <row r="288" spans="1:12" x14ac:dyDescent="0.6">
      <c r="A288">
        <v>287</v>
      </c>
      <c r="B288" s="2" t="s">
        <v>71</v>
      </c>
      <c r="C288" t="s">
        <v>7</v>
      </c>
      <c r="D288">
        <v>150</v>
      </c>
      <c r="F288">
        <v>75</v>
      </c>
      <c r="G288">
        <v>23.7</v>
      </c>
      <c r="H288">
        <f t="shared" si="29"/>
        <v>750</v>
      </c>
      <c r="I288">
        <v>1.52E-2</v>
      </c>
      <c r="J288">
        <v>227</v>
      </c>
      <c r="K288">
        <f t="shared" si="24"/>
        <v>0.42880981324804762</v>
      </c>
      <c r="L288">
        <f t="shared" si="25"/>
        <v>241.2055199520268</v>
      </c>
    </row>
    <row r="289" spans="1:12" x14ac:dyDescent="0.6">
      <c r="A289">
        <v>288</v>
      </c>
      <c r="B289" s="2" t="s">
        <v>71</v>
      </c>
      <c r="C289" t="s">
        <v>7</v>
      </c>
      <c r="D289">
        <v>150</v>
      </c>
      <c r="F289">
        <v>75</v>
      </c>
      <c r="G289">
        <v>27</v>
      </c>
      <c r="H289">
        <f t="shared" si="29"/>
        <v>750</v>
      </c>
      <c r="I289">
        <v>1.52E-2</v>
      </c>
      <c r="J289">
        <v>235</v>
      </c>
      <c r="K289">
        <f t="shared" si="24"/>
        <v>0.44765949819641482</v>
      </c>
      <c r="L289">
        <f t="shared" si="25"/>
        <v>251.80846773548336</v>
      </c>
    </row>
    <row r="290" spans="1:12" x14ac:dyDescent="0.6">
      <c r="A290">
        <v>289</v>
      </c>
      <c r="B290" s="2" t="s">
        <v>71</v>
      </c>
      <c r="C290" t="s">
        <v>7</v>
      </c>
      <c r="D290">
        <v>100</v>
      </c>
      <c r="F290">
        <v>75</v>
      </c>
      <c r="G290">
        <v>26.4</v>
      </c>
      <c r="H290">
        <f t="shared" si="29"/>
        <v>550</v>
      </c>
      <c r="I290">
        <v>9.7999999999999997E-3</v>
      </c>
      <c r="J290">
        <v>185</v>
      </c>
      <c r="K290">
        <f t="shared" si="24"/>
        <v>0.38443531695674621</v>
      </c>
      <c r="L290">
        <f t="shared" si="25"/>
        <v>158.57956824465782</v>
      </c>
    </row>
    <row r="291" spans="1:12" x14ac:dyDescent="0.6">
      <c r="A291">
        <v>290</v>
      </c>
      <c r="B291" s="2" t="s">
        <v>71</v>
      </c>
      <c r="C291" t="s">
        <v>7</v>
      </c>
      <c r="D291">
        <v>200</v>
      </c>
      <c r="F291">
        <v>75</v>
      </c>
      <c r="G291">
        <v>26.4</v>
      </c>
      <c r="H291">
        <f t="shared" si="29"/>
        <v>950</v>
      </c>
      <c r="I291">
        <v>1.77E-2</v>
      </c>
      <c r="J291">
        <v>338</v>
      </c>
      <c r="K291">
        <f t="shared" si="24"/>
        <v>0.46725058213128978</v>
      </c>
      <c r="L291">
        <f t="shared" si="25"/>
        <v>332.91603976854401</v>
      </c>
    </row>
    <row r="292" spans="1:12" x14ac:dyDescent="0.6">
      <c r="A292">
        <v>291</v>
      </c>
      <c r="B292" s="2" t="s">
        <v>71</v>
      </c>
      <c r="C292" t="s">
        <v>7</v>
      </c>
      <c r="D292">
        <v>100</v>
      </c>
      <c r="F292">
        <v>75</v>
      </c>
      <c r="G292">
        <v>33.450000000000003</v>
      </c>
      <c r="H292">
        <f t="shared" si="29"/>
        <v>550</v>
      </c>
      <c r="I292">
        <v>1.2009146E-2</v>
      </c>
      <c r="J292">
        <v>172</v>
      </c>
      <c r="K292">
        <f t="shared" si="24"/>
        <v>0.44450750590648791</v>
      </c>
      <c r="L292">
        <f t="shared" si="25"/>
        <v>183.35934618642625</v>
      </c>
    </row>
    <row r="293" spans="1:12" x14ac:dyDescent="0.6">
      <c r="A293">
        <v>292</v>
      </c>
      <c r="B293" s="2" t="s">
        <v>71</v>
      </c>
      <c r="C293" t="s">
        <v>7</v>
      </c>
      <c r="D293">
        <v>200</v>
      </c>
      <c r="F293">
        <v>75</v>
      </c>
      <c r="G293">
        <v>33.450000000000003</v>
      </c>
      <c r="H293">
        <f t="shared" si="29"/>
        <v>950</v>
      </c>
      <c r="I293">
        <v>1.1748664000000001E-2</v>
      </c>
      <c r="J293">
        <v>284</v>
      </c>
      <c r="K293">
        <f t="shared" si="24"/>
        <v>0.44130240802334258</v>
      </c>
      <c r="L293">
        <f t="shared" si="25"/>
        <v>314.4279657166316</v>
      </c>
    </row>
    <row r="294" spans="1:12" x14ac:dyDescent="0.6">
      <c r="A294">
        <v>293</v>
      </c>
      <c r="B294" s="2" t="s">
        <v>71</v>
      </c>
      <c r="C294" t="s">
        <v>7</v>
      </c>
      <c r="D294">
        <v>200</v>
      </c>
      <c r="F294">
        <v>75</v>
      </c>
      <c r="G294">
        <v>36.075000000000003</v>
      </c>
      <c r="H294">
        <f t="shared" si="29"/>
        <v>950</v>
      </c>
      <c r="I294">
        <v>7.1096859999999996E-3</v>
      </c>
      <c r="J294">
        <v>421</v>
      </c>
      <c r="K294">
        <f t="shared" si="24"/>
        <v>0.38333467727793125</v>
      </c>
      <c r="L294">
        <f t="shared" si="25"/>
        <v>273.12595756052605</v>
      </c>
    </row>
    <row r="295" spans="1:12" x14ac:dyDescent="0.6">
      <c r="A295">
        <v>294</v>
      </c>
      <c r="B295" s="2" t="s">
        <v>71</v>
      </c>
      <c r="C295" t="s">
        <v>7</v>
      </c>
      <c r="D295">
        <v>100</v>
      </c>
      <c r="F295">
        <v>75</v>
      </c>
      <c r="G295">
        <v>36.075000000000003</v>
      </c>
      <c r="H295">
        <f t="shared" si="29"/>
        <v>550</v>
      </c>
      <c r="I295">
        <v>1.0756000999999999E-2</v>
      </c>
      <c r="J295">
        <v>182</v>
      </c>
      <c r="K295">
        <f t="shared" si="24"/>
        <v>0.43945280882925203</v>
      </c>
      <c r="L295">
        <f t="shared" si="25"/>
        <v>181.27428364206648</v>
      </c>
    </row>
    <row r="296" spans="1:12" x14ac:dyDescent="0.6">
      <c r="A296">
        <v>295</v>
      </c>
      <c r="B296" s="2" t="s">
        <v>71</v>
      </c>
      <c r="C296" t="s">
        <v>7</v>
      </c>
      <c r="D296">
        <v>200</v>
      </c>
      <c r="F296">
        <v>75</v>
      </c>
      <c r="G296">
        <v>11.55</v>
      </c>
      <c r="H296">
        <f t="shared" si="29"/>
        <v>950</v>
      </c>
      <c r="I296">
        <v>7.8764420000000009E-3</v>
      </c>
      <c r="J296">
        <v>221</v>
      </c>
      <c r="K296">
        <f t="shared" si="24"/>
        <v>0.27228916387363927</v>
      </c>
      <c r="L296">
        <f t="shared" si="25"/>
        <v>194.00602925996799</v>
      </c>
    </row>
    <row r="297" spans="1:12" x14ac:dyDescent="0.6">
      <c r="A297">
        <v>296</v>
      </c>
      <c r="B297" s="2" t="s">
        <v>71</v>
      </c>
      <c r="C297" t="s">
        <v>7</v>
      </c>
      <c r="D297">
        <v>100</v>
      </c>
      <c r="F297">
        <v>75</v>
      </c>
      <c r="G297">
        <v>11.55</v>
      </c>
      <c r="H297">
        <f t="shared" si="29"/>
        <v>550</v>
      </c>
      <c r="I297">
        <v>1.3089969E-2</v>
      </c>
      <c r="J297">
        <v>109</v>
      </c>
      <c r="K297">
        <f t="shared" si="24"/>
        <v>0.32198169041105118</v>
      </c>
      <c r="L297">
        <f t="shared" si="25"/>
        <v>132.8174472945586</v>
      </c>
    </row>
    <row r="298" spans="1:12" x14ac:dyDescent="0.6">
      <c r="A298">
        <v>297</v>
      </c>
      <c r="B298" s="2" t="s">
        <v>71</v>
      </c>
      <c r="C298" t="s">
        <v>7</v>
      </c>
      <c r="D298">
        <v>200</v>
      </c>
      <c r="F298">
        <v>75</v>
      </c>
      <c r="G298">
        <v>35.85</v>
      </c>
      <c r="H298">
        <f t="shared" si="29"/>
        <v>950</v>
      </c>
      <c r="I298">
        <v>1.3089969E-2</v>
      </c>
      <c r="J298">
        <v>623</v>
      </c>
      <c r="K298">
        <f t="shared" si="24"/>
        <v>0.46790807925400724</v>
      </c>
      <c r="L298">
        <f t="shared" si="25"/>
        <v>333.3845064684802</v>
      </c>
    </row>
    <row r="299" spans="1:12" x14ac:dyDescent="0.6">
      <c r="A299">
        <v>298</v>
      </c>
      <c r="B299" s="2" t="s">
        <v>71</v>
      </c>
      <c r="C299" t="s">
        <v>7</v>
      </c>
      <c r="D299">
        <v>200</v>
      </c>
      <c r="F299">
        <v>75</v>
      </c>
      <c r="G299">
        <v>35.85</v>
      </c>
      <c r="H299">
        <f t="shared" si="29"/>
        <v>950</v>
      </c>
      <c r="I299">
        <v>1.3089969E-2</v>
      </c>
      <c r="J299">
        <v>368</v>
      </c>
      <c r="K299">
        <f t="shared" si="24"/>
        <v>0.46790807925400724</v>
      </c>
      <c r="L299">
        <f t="shared" si="25"/>
        <v>333.3845064684802</v>
      </c>
    </row>
    <row r="300" spans="1:12" x14ac:dyDescent="0.6">
      <c r="A300">
        <v>299</v>
      </c>
      <c r="B300" s="2" t="s">
        <v>71</v>
      </c>
      <c r="C300" t="s">
        <v>7</v>
      </c>
      <c r="D300">
        <v>100</v>
      </c>
      <c r="F300">
        <v>75</v>
      </c>
      <c r="G300">
        <v>35.85</v>
      </c>
      <c r="H300">
        <f t="shared" si="29"/>
        <v>550</v>
      </c>
      <c r="I300">
        <v>1.3089969E-2</v>
      </c>
      <c r="J300">
        <v>451</v>
      </c>
      <c r="K300">
        <f t="shared" si="24"/>
        <v>0.46790807925400724</v>
      </c>
      <c r="L300">
        <f t="shared" si="25"/>
        <v>193.01208269227797</v>
      </c>
    </row>
    <row r="301" spans="1:12" x14ac:dyDescent="0.6">
      <c r="A301">
        <v>300</v>
      </c>
      <c r="B301" s="2" t="s">
        <v>71</v>
      </c>
      <c r="C301" t="s">
        <v>7</v>
      </c>
      <c r="D301">
        <v>200</v>
      </c>
      <c r="F301">
        <v>160</v>
      </c>
      <c r="G301">
        <v>28.2</v>
      </c>
      <c r="H301">
        <f t="shared" si="29"/>
        <v>1120</v>
      </c>
      <c r="I301">
        <v>1.3089969E-2</v>
      </c>
      <c r="J301">
        <v>1099</v>
      </c>
      <c r="K301">
        <f t="shared" si="24"/>
        <v>0.3366448303820041</v>
      </c>
      <c r="L301">
        <f t="shared" si="25"/>
        <v>603.26753604455143</v>
      </c>
    </row>
    <row r="302" spans="1:12" x14ac:dyDescent="0.6">
      <c r="A302">
        <v>301</v>
      </c>
      <c r="B302" s="2" t="s">
        <v>71</v>
      </c>
      <c r="C302" t="s">
        <v>7</v>
      </c>
      <c r="D302">
        <v>100</v>
      </c>
      <c r="F302">
        <v>75</v>
      </c>
      <c r="G302">
        <v>28.2</v>
      </c>
      <c r="H302">
        <f t="shared" si="29"/>
        <v>550</v>
      </c>
      <c r="I302">
        <v>1.3089969E-2</v>
      </c>
      <c r="J302">
        <v>142</v>
      </c>
      <c r="K302">
        <f t="shared" si="24"/>
        <v>0.43227620197755323</v>
      </c>
      <c r="L302">
        <f t="shared" si="25"/>
        <v>178.31393331574068</v>
      </c>
    </row>
    <row r="303" spans="1:12" x14ac:dyDescent="0.6">
      <c r="A303">
        <v>302</v>
      </c>
      <c r="B303" s="2" t="s">
        <v>72</v>
      </c>
      <c r="C303" t="s">
        <v>10</v>
      </c>
      <c r="D303">
        <v>210</v>
      </c>
      <c r="F303">
        <v>113</v>
      </c>
      <c r="G303">
        <v>21.945</v>
      </c>
      <c r="H303">
        <f t="shared" ref="H303:H304" si="30">PI()*(D303+F303)</f>
        <v>1014.7344271095031</v>
      </c>
      <c r="I303">
        <v>2.6179938999999999E-2</v>
      </c>
      <c r="J303">
        <v>280</v>
      </c>
      <c r="K303">
        <f t="shared" si="24"/>
        <v>0.43693224782289253</v>
      </c>
      <c r="L303">
        <f t="shared" si="25"/>
        <v>501.00831942366028</v>
      </c>
    </row>
    <row r="304" spans="1:12" x14ac:dyDescent="0.6">
      <c r="A304">
        <v>303</v>
      </c>
      <c r="B304" s="2" t="s">
        <v>72</v>
      </c>
      <c r="C304" t="s">
        <v>10</v>
      </c>
      <c r="D304">
        <v>210</v>
      </c>
      <c r="F304">
        <v>170</v>
      </c>
      <c r="G304">
        <v>22.135000000000002</v>
      </c>
      <c r="H304">
        <f t="shared" si="30"/>
        <v>1193.8052083641214</v>
      </c>
      <c r="I304">
        <v>2.6179938999999999E-2</v>
      </c>
      <c r="J304">
        <v>480</v>
      </c>
      <c r="K304">
        <f t="shared" si="24"/>
        <v>0.38292819260118716</v>
      </c>
      <c r="L304">
        <f t="shared" si="25"/>
        <v>777.14084028648631</v>
      </c>
    </row>
    <row r="305" spans="1:12" x14ac:dyDescent="0.6">
      <c r="A305">
        <v>304</v>
      </c>
      <c r="B305" s="2" t="s">
        <v>73</v>
      </c>
      <c r="C305" t="s">
        <v>7</v>
      </c>
      <c r="D305">
        <v>150</v>
      </c>
      <c r="F305">
        <v>100</v>
      </c>
      <c r="G305">
        <v>34.950000000000003</v>
      </c>
      <c r="H305">
        <f t="shared" ref="H305:H306" si="31">4*D305+2*F305</f>
        <v>800</v>
      </c>
      <c r="I305">
        <v>1.3089969E-2</v>
      </c>
      <c r="J305">
        <v>198</v>
      </c>
      <c r="K305">
        <f t="shared" si="24"/>
        <v>0.42197518053406902</v>
      </c>
      <c r="L305">
        <f t="shared" si="25"/>
        <v>337.58014442725522</v>
      </c>
    </row>
    <row r="306" spans="1:12" x14ac:dyDescent="0.6">
      <c r="A306">
        <v>305</v>
      </c>
      <c r="B306" s="2" t="s">
        <v>73</v>
      </c>
      <c r="C306" t="s">
        <v>7</v>
      </c>
      <c r="D306">
        <v>150</v>
      </c>
      <c r="F306">
        <v>100</v>
      </c>
      <c r="G306">
        <v>38.024999999999999</v>
      </c>
      <c r="H306">
        <f t="shared" si="31"/>
        <v>800</v>
      </c>
      <c r="I306">
        <v>2.6179938999999999E-2</v>
      </c>
      <c r="J306">
        <v>222</v>
      </c>
      <c r="K306">
        <f t="shared" si="24"/>
        <v>0.54539617245518235</v>
      </c>
      <c r="L306">
        <f t="shared" si="25"/>
        <v>436.31693796414589</v>
      </c>
    </row>
    <row r="307" spans="1:12" x14ac:dyDescent="0.6">
      <c r="A307">
        <v>306</v>
      </c>
      <c r="B307" s="2" t="s">
        <v>74</v>
      </c>
      <c r="C307" t="s">
        <v>10</v>
      </c>
      <c r="D307">
        <v>800</v>
      </c>
      <c r="F307">
        <v>668.5</v>
      </c>
      <c r="G307">
        <v>28.65</v>
      </c>
      <c r="H307">
        <f t="shared" ref="H307:H313" si="32">PI()*(D307+F307)</f>
        <v>4613.4288117966116</v>
      </c>
      <c r="I307">
        <v>1.3089969E-2</v>
      </c>
      <c r="J307">
        <v>4915</v>
      </c>
      <c r="K307">
        <f t="shared" si="24"/>
        <v>0.21111398280831273</v>
      </c>
      <c r="L307">
        <f t="shared" si="25"/>
        <v>6510.9181268058146</v>
      </c>
    </row>
    <row r="308" spans="1:12" x14ac:dyDescent="0.6">
      <c r="A308">
        <v>307</v>
      </c>
      <c r="B308" s="1" t="s">
        <v>92</v>
      </c>
      <c r="C308" t="s">
        <v>10</v>
      </c>
      <c r="D308">
        <v>300</v>
      </c>
      <c r="F308">
        <v>171</v>
      </c>
      <c r="G308">
        <v>25.745000000000001</v>
      </c>
      <c r="H308">
        <f t="shared" si="32"/>
        <v>1479.6901398407927</v>
      </c>
      <c r="I308">
        <v>1.3089969E-2</v>
      </c>
      <c r="J308">
        <v>626</v>
      </c>
      <c r="K308">
        <f t="shared" si="24"/>
        <v>0.31958712697395175</v>
      </c>
      <c r="L308">
        <f t="shared" si="25"/>
        <v>808.64176423182062</v>
      </c>
    </row>
    <row r="309" spans="1:12" x14ac:dyDescent="0.6">
      <c r="A309">
        <v>308</v>
      </c>
      <c r="B309" s="1" t="s">
        <v>28</v>
      </c>
      <c r="C309" t="s">
        <v>10</v>
      </c>
      <c r="D309">
        <v>100</v>
      </c>
      <c r="F309">
        <v>80</v>
      </c>
      <c r="G309">
        <v>37.5</v>
      </c>
      <c r="H309">
        <f t="shared" si="32"/>
        <v>565.48667764616278</v>
      </c>
      <c r="I309">
        <v>1.3089969E-2</v>
      </c>
      <c r="J309">
        <v>183</v>
      </c>
      <c r="K309">
        <f t="shared" si="24"/>
        <v>0.46490044391514035</v>
      </c>
      <c r="L309">
        <f t="shared" si="25"/>
        <v>210.31600597263915</v>
      </c>
    </row>
    <row r="310" spans="1:12" x14ac:dyDescent="0.6">
      <c r="A310">
        <v>309</v>
      </c>
      <c r="B310" s="1" t="s">
        <v>28</v>
      </c>
      <c r="C310" t="s">
        <v>10</v>
      </c>
      <c r="D310">
        <v>240</v>
      </c>
      <c r="F310">
        <v>80</v>
      </c>
      <c r="G310">
        <v>41.9</v>
      </c>
      <c r="H310">
        <f t="shared" si="32"/>
        <v>1005.3096491487338</v>
      </c>
      <c r="I310">
        <v>2.6179938999999999E-2</v>
      </c>
      <c r="J310">
        <v>281</v>
      </c>
      <c r="K310">
        <f t="shared" si="24"/>
        <v>0.60617800511574471</v>
      </c>
      <c r="L310">
        <f t="shared" si="25"/>
        <v>487.51727811567099</v>
      </c>
    </row>
    <row r="311" spans="1:12" x14ac:dyDescent="0.6">
      <c r="A311">
        <v>310</v>
      </c>
      <c r="B311" s="1" t="s">
        <v>28</v>
      </c>
      <c r="C311" t="s">
        <v>10</v>
      </c>
      <c r="D311">
        <v>200</v>
      </c>
      <c r="F311">
        <v>80</v>
      </c>
      <c r="G311">
        <v>40</v>
      </c>
      <c r="H311">
        <f t="shared" si="32"/>
        <v>879.64594300514204</v>
      </c>
      <c r="I311">
        <v>2.6179938999999999E-2</v>
      </c>
      <c r="J311">
        <v>288</v>
      </c>
      <c r="K311">
        <f t="shared" si="24"/>
        <v>0.59696565219330788</v>
      </c>
      <c r="L311">
        <f t="shared" si="25"/>
        <v>420.09473125220961</v>
      </c>
    </row>
    <row r="312" spans="1:12" x14ac:dyDescent="0.6">
      <c r="A312">
        <v>311</v>
      </c>
      <c r="B312" s="1" t="s">
        <v>28</v>
      </c>
      <c r="C312" t="s">
        <v>10</v>
      </c>
      <c r="D312">
        <v>320</v>
      </c>
      <c r="F312">
        <v>80</v>
      </c>
      <c r="G312">
        <v>38</v>
      </c>
      <c r="H312">
        <f t="shared" si="32"/>
        <v>1256.6370614359173</v>
      </c>
      <c r="I312">
        <v>8.5955370000000003E-3</v>
      </c>
      <c r="J312">
        <v>324</v>
      </c>
      <c r="K312">
        <f t="shared" si="24"/>
        <v>0.40642328341751693</v>
      </c>
      <c r="L312">
        <f t="shared" si="25"/>
        <v>408.58124845834033</v>
      </c>
    </row>
    <row r="313" spans="1:12" x14ac:dyDescent="0.6">
      <c r="A313">
        <v>312</v>
      </c>
      <c r="B313" s="3" t="s">
        <v>93</v>
      </c>
      <c r="C313" t="s">
        <v>10</v>
      </c>
      <c r="D313">
        <v>300</v>
      </c>
      <c r="F313">
        <v>143</v>
      </c>
      <c r="G313">
        <v>32.4</v>
      </c>
      <c r="H313">
        <f t="shared" si="32"/>
        <v>1391.7255455402783</v>
      </c>
      <c r="I313">
        <v>7.8736659999999997E-3</v>
      </c>
      <c r="J313">
        <v>628</v>
      </c>
      <c r="K313">
        <f t="shared" si="24"/>
        <v>0.30925516476226472</v>
      </c>
      <c r="L313">
        <f t="shared" si="25"/>
        <v>615.46958743257346</v>
      </c>
    </row>
    <row r="314" spans="1:12" x14ac:dyDescent="0.6">
      <c r="A314">
        <v>313</v>
      </c>
      <c r="B314" s="2" t="s">
        <v>75</v>
      </c>
      <c r="C314" t="s">
        <v>7</v>
      </c>
      <c r="D314">
        <v>254</v>
      </c>
      <c r="F314">
        <v>120.65</v>
      </c>
      <c r="G314">
        <v>30.786175</v>
      </c>
      <c r="H314">
        <f t="shared" ref="H314:H323" si="33">4*D314+2*F314</f>
        <v>1257.3</v>
      </c>
      <c r="I314">
        <v>7.5157720000000004E-3</v>
      </c>
      <c r="J314">
        <v>290</v>
      </c>
      <c r="K314">
        <f t="shared" si="24"/>
        <v>0.31672639357438886</v>
      </c>
      <c r="L314">
        <f t="shared" si="25"/>
        <v>480.452544184462</v>
      </c>
    </row>
    <row r="315" spans="1:12" x14ac:dyDescent="0.6">
      <c r="A315">
        <v>314</v>
      </c>
      <c r="B315" s="2" t="s">
        <v>75</v>
      </c>
      <c r="C315" t="s">
        <v>7</v>
      </c>
      <c r="D315">
        <v>254</v>
      </c>
      <c r="F315">
        <v>122.17400000000001</v>
      </c>
      <c r="G315">
        <v>27.576552499999998</v>
      </c>
      <c r="H315">
        <f t="shared" si="33"/>
        <v>1260.348</v>
      </c>
      <c r="I315">
        <v>6.1974539999999998E-3</v>
      </c>
      <c r="J315">
        <v>273</v>
      </c>
      <c r="K315">
        <f t="shared" si="24"/>
        <v>0.28540736511938697</v>
      </c>
      <c r="L315">
        <f t="shared" si="25"/>
        <v>439.47527413961222</v>
      </c>
    </row>
    <row r="316" spans="1:12" x14ac:dyDescent="0.6">
      <c r="A316">
        <v>315</v>
      </c>
      <c r="B316" s="2" t="s">
        <v>75</v>
      </c>
      <c r="C316" t="s">
        <v>7</v>
      </c>
      <c r="D316">
        <v>254</v>
      </c>
      <c r="F316">
        <v>123.952</v>
      </c>
      <c r="G316">
        <v>28.100572499999998</v>
      </c>
      <c r="H316">
        <f t="shared" si="33"/>
        <v>1263.904</v>
      </c>
      <c r="I316">
        <v>6.1974539999999998E-3</v>
      </c>
      <c r="J316">
        <v>464</v>
      </c>
      <c r="K316">
        <f t="shared" si="24"/>
        <v>0.28581980915671285</v>
      </c>
      <c r="L316">
        <f t="shared" si="25"/>
        <v>447.77511266574868</v>
      </c>
    </row>
    <row r="317" spans="1:12" x14ac:dyDescent="0.6">
      <c r="A317">
        <v>316</v>
      </c>
      <c r="B317" s="2" t="s">
        <v>75</v>
      </c>
      <c r="C317" t="s">
        <v>7</v>
      </c>
      <c r="D317">
        <v>254</v>
      </c>
      <c r="F317">
        <v>122.17400000000001</v>
      </c>
      <c r="G317">
        <v>28.624592499999999</v>
      </c>
      <c r="H317">
        <f t="shared" si="33"/>
        <v>1260.348</v>
      </c>
      <c r="I317">
        <v>6.1974539999999998E-3</v>
      </c>
      <c r="J317">
        <v>440</v>
      </c>
      <c r="K317">
        <f t="shared" si="24"/>
        <v>0.28894218906964692</v>
      </c>
      <c r="L317">
        <f t="shared" si="25"/>
        <v>444.91825814924334</v>
      </c>
    </row>
    <row r="318" spans="1:12" x14ac:dyDescent="0.6">
      <c r="A318">
        <v>317</v>
      </c>
      <c r="B318" s="2" t="s">
        <v>75</v>
      </c>
      <c r="C318" t="s">
        <v>7</v>
      </c>
      <c r="D318">
        <v>508</v>
      </c>
      <c r="F318">
        <v>127</v>
      </c>
      <c r="G318">
        <v>25.283964999999998</v>
      </c>
      <c r="H318">
        <f t="shared" si="33"/>
        <v>2286</v>
      </c>
      <c r="I318">
        <v>6.1974539999999998E-3</v>
      </c>
      <c r="J318">
        <v>342</v>
      </c>
      <c r="K318">
        <f t="shared" si="24"/>
        <v>0.27382536097511678</v>
      </c>
      <c r="L318">
        <f t="shared" si="25"/>
        <v>794.97526449017857</v>
      </c>
    </row>
    <row r="319" spans="1:12" x14ac:dyDescent="0.6">
      <c r="A319">
        <v>318</v>
      </c>
      <c r="B319" s="2" t="s">
        <v>75</v>
      </c>
      <c r="C319" t="s">
        <v>7</v>
      </c>
      <c r="D319">
        <v>508</v>
      </c>
      <c r="F319">
        <v>123.952</v>
      </c>
      <c r="G319">
        <v>30.589667500000001</v>
      </c>
      <c r="H319">
        <f t="shared" si="33"/>
        <v>2279.904</v>
      </c>
      <c r="I319">
        <v>1.1844156E-2</v>
      </c>
      <c r="J319">
        <v>330</v>
      </c>
      <c r="K319">
        <f t="shared" si="24"/>
        <v>0.36398371671847912</v>
      </c>
      <c r="L319">
        <f t="shared" si="25"/>
        <v>1028.613108277639</v>
      </c>
    </row>
    <row r="320" spans="1:12" x14ac:dyDescent="0.6">
      <c r="A320">
        <v>319</v>
      </c>
      <c r="B320" s="2" t="s">
        <v>75</v>
      </c>
      <c r="C320" t="s">
        <v>7</v>
      </c>
      <c r="D320">
        <v>508</v>
      </c>
      <c r="F320">
        <v>125.476</v>
      </c>
      <c r="G320">
        <v>33.668284999999997</v>
      </c>
      <c r="H320">
        <f t="shared" si="33"/>
        <v>2282.9520000000002</v>
      </c>
      <c r="I320">
        <v>9.0648289999999999E-3</v>
      </c>
      <c r="J320">
        <v>579</v>
      </c>
      <c r="K320">
        <f t="shared" si="24"/>
        <v>0.3425675141247429</v>
      </c>
      <c r="L320">
        <f t="shared" si="25"/>
        <v>981.30411969420675</v>
      </c>
    </row>
    <row r="321" spans="1:12" x14ac:dyDescent="0.6">
      <c r="A321">
        <v>320</v>
      </c>
      <c r="B321" s="2" t="s">
        <v>75</v>
      </c>
      <c r="C321" t="s">
        <v>7</v>
      </c>
      <c r="D321">
        <v>508</v>
      </c>
      <c r="F321">
        <v>125.476</v>
      </c>
      <c r="G321">
        <v>33.930295000000001</v>
      </c>
      <c r="H321">
        <f t="shared" si="33"/>
        <v>2282.9520000000002</v>
      </c>
      <c r="I321">
        <v>9.0648289999999999E-3</v>
      </c>
      <c r="J321">
        <v>580</v>
      </c>
      <c r="K321">
        <f t="shared" si="24"/>
        <v>0.34344497587636691</v>
      </c>
      <c r="L321">
        <f t="shared" si="25"/>
        <v>983.81765876676798</v>
      </c>
    </row>
    <row r="322" spans="1:12" x14ac:dyDescent="0.6">
      <c r="A322">
        <v>321</v>
      </c>
      <c r="B322" s="2" t="s">
        <v>76</v>
      </c>
      <c r="C322" t="s">
        <v>7</v>
      </c>
      <c r="D322">
        <v>76</v>
      </c>
      <c r="F322">
        <v>31.75</v>
      </c>
      <c r="G322">
        <v>28.008869000000001</v>
      </c>
      <c r="H322">
        <f t="shared" si="33"/>
        <v>367.5</v>
      </c>
      <c r="I322">
        <v>7.5564819999999998E-3</v>
      </c>
      <c r="J322">
        <v>34</v>
      </c>
      <c r="K322">
        <f t="shared" si="24"/>
        <v>0.47779014492265331</v>
      </c>
      <c r="L322">
        <f t="shared" si="25"/>
        <v>55.749151347256344</v>
      </c>
    </row>
    <row r="323" spans="1:12" x14ac:dyDescent="0.6">
      <c r="A323">
        <v>322</v>
      </c>
      <c r="B323" s="2" t="s">
        <v>76</v>
      </c>
      <c r="C323" t="s">
        <v>7</v>
      </c>
      <c r="D323">
        <v>76</v>
      </c>
      <c r="F323">
        <v>29.972000000000001</v>
      </c>
      <c r="G323">
        <v>26.332004999999999</v>
      </c>
      <c r="H323">
        <f t="shared" si="33"/>
        <v>363.94400000000002</v>
      </c>
      <c r="I323">
        <v>1.484309E-2</v>
      </c>
      <c r="J323">
        <v>31</v>
      </c>
      <c r="K323">
        <f t="shared" ref="K323:K386" si="34">(I323*G323*16/F323)^0.33</f>
        <v>0.59621943378838538</v>
      </c>
      <c r="L323">
        <f t="shared" ref="L323:L386" si="35">K323*H323*F323/100</f>
        <v>65.036388347233057</v>
      </c>
    </row>
    <row r="324" spans="1:12" x14ac:dyDescent="0.6">
      <c r="A324">
        <v>323</v>
      </c>
      <c r="B324" t="s">
        <v>94</v>
      </c>
      <c r="C324" t="s">
        <v>10</v>
      </c>
      <c r="D324">
        <v>226</v>
      </c>
      <c r="F324">
        <v>109</v>
      </c>
      <c r="G324">
        <v>39.6</v>
      </c>
      <c r="H324">
        <f t="shared" ref="H324:H328" si="36">PI()*(D324+F324)</f>
        <v>1052.4335389525806</v>
      </c>
      <c r="I324">
        <v>1.0014614999999999E-2</v>
      </c>
      <c r="J324">
        <v>362</v>
      </c>
      <c r="K324">
        <f t="shared" si="34"/>
        <v>0.3912528971728052</v>
      </c>
      <c r="L324">
        <f t="shared" si="35"/>
        <v>448.82676160475779</v>
      </c>
    </row>
    <row r="325" spans="1:12" x14ac:dyDescent="0.6">
      <c r="A325">
        <v>324</v>
      </c>
      <c r="B325" s="2" t="s">
        <v>77</v>
      </c>
      <c r="C325" t="s">
        <v>10</v>
      </c>
      <c r="D325">
        <v>120</v>
      </c>
      <c r="F325">
        <v>95.5</v>
      </c>
      <c r="G325">
        <v>24</v>
      </c>
      <c r="H325">
        <f t="shared" si="36"/>
        <v>677.01321684860045</v>
      </c>
      <c r="I325">
        <v>1.0014614999999999E-2</v>
      </c>
      <c r="J325">
        <v>184</v>
      </c>
      <c r="K325">
        <f t="shared" si="34"/>
        <v>0.34644755168875557</v>
      </c>
      <c r="L325">
        <f t="shared" si="35"/>
        <v>223.99484072341048</v>
      </c>
    </row>
    <row r="326" spans="1:12" x14ac:dyDescent="0.6">
      <c r="A326">
        <v>325</v>
      </c>
      <c r="B326" s="2" t="s">
        <v>77</v>
      </c>
      <c r="C326" t="s">
        <v>10</v>
      </c>
      <c r="D326">
        <v>120</v>
      </c>
      <c r="F326">
        <v>101</v>
      </c>
      <c r="G326">
        <v>23.925000000000001</v>
      </c>
      <c r="H326">
        <f t="shared" si="36"/>
        <v>694.29197644334431</v>
      </c>
      <c r="I326">
        <v>1.3089969E-2</v>
      </c>
      <c r="J326">
        <v>183</v>
      </c>
      <c r="K326">
        <f t="shared" si="34"/>
        <v>0.37114569480319204</v>
      </c>
      <c r="L326">
        <f t="shared" si="35"/>
        <v>260.26031277327991</v>
      </c>
    </row>
    <row r="327" spans="1:12" x14ac:dyDescent="0.6">
      <c r="A327">
        <v>326</v>
      </c>
      <c r="B327" s="2" t="s">
        <v>77</v>
      </c>
      <c r="C327" t="s">
        <v>10</v>
      </c>
      <c r="D327">
        <v>240</v>
      </c>
      <c r="F327">
        <v>201</v>
      </c>
      <c r="G327">
        <v>20.399999999999999</v>
      </c>
      <c r="H327">
        <f t="shared" si="36"/>
        <v>1385.4423602330987</v>
      </c>
      <c r="I327">
        <v>1.5124962E-2</v>
      </c>
      <c r="J327">
        <v>661</v>
      </c>
      <c r="K327">
        <f t="shared" si="34"/>
        <v>0.29429437887642423</v>
      </c>
      <c r="L327">
        <f t="shared" si="35"/>
        <v>819.53307673651284</v>
      </c>
    </row>
    <row r="328" spans="1:12" x14ac:dyDescent="0.6">
      <c r="A328">
        <v>327</v>
      </c>
      <c r="B328" s="2" t="s">
        <v>77</v>
      </c>
      <c r="C328" t="s">
        <v>10</v>
      </c>
      <c r="D328">
        <v>240</v>
      </c>
      <c r="F328">
        <v>201</v>
      </c>
      <c r="G328">
        <v>20.100000000000001</v>
      </c>
      <c r="H328">
        <f t="shared" si="36"/>
        <v>1385.4423602330987</v>
      </c>
      <c r="I328">
        <v>1.0083307999999999E-2</v>
      </c>
      <c r="J328">
        <v>558</v>
      </c>
      <c r="K328">
        <f t="shared" si="34"/>
        <v>0.25618199019100851</v>
      </c>
      <c r="L328">
        <f t="shared" si="35"/>
        <v>713.40001609028127</v>
      </c>
    </row>
    <row r="329" spans="1:12" x14ac:dyDescent="0.6">
      <c r="A329">
        <v>328</v>
      </c>
      <c r="B329" s="1" t="s">
        <v>78</v>
      </c>
      <c r="C329" t="s">
        <v>7</v>
      </c>
      <c r="D329">
        <v>76</v>
      </c>
      <c r="F329">
        <v>38.1</v>
      </c>
      <c r="G329">
        <v>26.201000000000001</v>
      </c>
      <c r="H329">
        <f t="shared" ref="H329:H331" si="37">4*D329+2*F329</f>
        <v>380.2</v>
      </c>
      <c r="I329">
        <v>1.67E-2</v>
      </c>
      <c r="J329">
        <v>43</v>
      </c>
      <c r="K329">
        <f t="shared" si="34"/>
        <v>0.57173619091348049</v>
      </c>
      <c r="L329">
        <f t="shared" si="35"/>
        <v>82.819532018201315</v>
      </c>
    </row>
    <row r="330" spans="1:12" x14ac:dyDescent="0.6">
      <c r="A330">
        <v>329</v>
      </c>
      <c r="B330" s="1" t="s">
        <v>78</v>
      </c>
      <c r="C330" t="s">
        <v>7</v>
      </c>
      <c r="D330">
        <v>114</v>
      </c>
      <c r="F330">
        <v>38.1</v>
      </c>
      <c r="G330">
        <v>21.8123325</v>
      </c>
      <c r="H330">
        <f t="shared" si="37"/>
        <v>532.20000000000005</v>
      </c>
      <c r="I330">
        <v>2.1999999999999999E-2</v>
      </c>
      <c r="J330">
        <v>47</v>
      </c>
      <c r="K330">
        <f t="shared" si="34"/>
        <v>0.58942090246237788</v>
      </c>
      <c r="L330">
        <f t="shared" si="35"/>
        <v>119.51581543467195</v>
      </c>
    </row>
    <row r="331" spans="1:12" x14ac:dyDescent="0.6">
      <c r="A331">
        <v>330</v>
      </c>
      <c r="B331" s="1" t="s">
        <v>78</v>
      </c>
      <c r="C331" t="s">
        <v>7</v>
      </c>
      <c r="D331">
        <v>152</v>
      </c>
      <c r="F331">
        <v>38.1</v>
      </c>
      <c r="G331">
        <v>19.7162525</v>
      </c>
      <c r="H331">
        <f t="shared" si="37"/>
        <v>684.2</v>
      </c>
      <c r="I331">
        <v>1.0999999999999999E-2</v>
      </c>
      <c r="J331">
        <v>51</v>
      </c>
      <c r="K331">
        <f t="shared" si="34"/>
        <v>0.45352995927925344</v>
      </c>
      <c r="L331">
        <f t="shared" si="35"/>
        <v>118.22628049090764</v>
      </c>
    </row>
    <row r="332" spans="1:12" x14ac:dyDescent="0.6">
      <c r="A332">
        <v>331</v>
      </c>
      <c r="B332" s="1" t="s">
        <v>78</v>
      </c>
      <c r="C332" t="s">
        <v>10</v>
      </c>
      <c r="D332">
        <v>114</v>
      </c>
      <c r="F332">
        <v>38.1</v>
      </c>
      <c r="G332">
        <v>20.960799999999999</v>
      </c>
      <c r="H332">
        <f>PI()*(D332+F332)</f>
        <v>477.83624261100749</v>
      </c>
      <c r="I332">
        <v>1.4999999999999999E-2</v>
      </c>
      <c r="J332">
        <v>58</v>
      </c>
      <c r="K332">
        <f t="shared" si="34"/>
        <v>0.51265955906351546</v>
      </c>
      <c r="L332">
        <f t="shared" si="35"/>
        <v>93.332547945221449</v>
      </c>
    </row>
    <row r="333" spans="1:12" x14ac:dyDescent="0.6">
      <c r="A333">
        <v>332</v>
      </c>
      <c r="B333" s="1" t="s">
        <v>78</v>
      </c>
      <c r="C333" t="s">
        <v>7</v>
      </c>
      <c r="D333">
        <v>229</v>
      </c>
      <c r="F333">
        <v>38.1</v>
      </c>
      <c r="G333">
        <v>20.109267500000001</v>
      </c>
      <c r="H333">
        <f t="shared" ref="H333:H336" si="38">4*D333+2*F333</f>
        <v>992.2</v>
      </c>
      <c r="I333">
        <v>1.9E-2</v>
      </c>
      <c r="J333">
        <v>78</v>
      </c>
      <c r="K333">
        <f t="shared" si="34"/>
        <v>0.54671854233821515</v>
      </c>
      <c r="L333">
        <f t="shared" si="35"/>
        <v>206.6750264667393</v>
      </c>
    </row>
    <row r="334" spans="1:12" x14ac:dyDescent="0.6">
      <c r="A334">
        <v>333</v>
      </c>
      <c r="B334" s="1" t="s">
        <v>78</v>
      </c>
      <c r="C334" t="s">
        <v>7</v>
      </c>
      <c r="D334">
        <v>305</v>
      </c>
      <c r="F334">
        <v>38.1</v>
      </c>
      <c r="G334">
        <v>19.454242499999999</v>
      </c>
      <c r="H334">
        <f t="shared" si="38"/>
        <v>1296.2</v>
      </c>
      <c r="I334">
        <v>0.01</v>
      </c>
      <c r="J334">
        <v>90</v>
      </c>
      <c r="K334">
        <f t="shared" si="34"/>
        <v>0.43755140184744534</v>
      </c>
      <c r="L334">
        <f t="shared" si="35"/>
        <v>216.08572241544493</v>
      </c>
    </row>
    <row r="335" spans="1:12" x14ac:dyDescent="0.6">
      <c r="A335">
        <v>334</v>
      </c>
      <c r="B335" s="1" t="s">
        <v>78</v>
      </c>
      <c r="C335" t="s">
        <v>7</v>
      </c>
      <c r="D335">
        <v>76</v>
      </c>
      <c r="F335">
        <v>38.1</v>
      </c>
      <c r="G335">
        <v>22.0743425</v>
      </c>
      <c r="H335">
        <f t="shared" si="38"/>
        <v>380.2</v>
      </c>
      <c r="I335">
        <v>1.2E-2</v>
      </c>
      <c r="J335">
        <v>50</v>
      </c>
      <c r="K335">
        <f t="shared" si="34"/>
        <v>0.4844702683371519</v>
      </c>
      <c r="L335">
        <f t="shared" si="35"/>
        <v>70.178522084300141</v>
      </c>
    </row>
    <row r="336" spans="1:12" x14ac:dyDescent="0.6">
      <c r="A336">
        <v>335</v>
      </c>
      <c r="B336" s="1" t="s">
        <v>78</v>
      </c>
      <c r="C336" t="s">
        <v>7</v>
      </c>
      <c r="D336">
        <v>152</v>
      </c>
      <c r="F336">
        <v>38.1</v>
      </c>
      <c r="G336">
        <v>20.567785000000001</v>
      </c>
      <c r="H336">
        <f t="shared" si="38"/>
        <v>684.2</v>
      </c>
      <c r="I336">
        <v>0.01</v>
      </c>
      <c r="J336">
        <v>69</v>
      </c>
      <c r="K336">
        <f t="shared" si="34"/>
        <v>0.4456626467466327</v>
      </c>
      <c r="L336">
        <f t="shared" si="35"/>
        <v>116.17542788644158</v>
      </c>
    </row>
    <row r="337" spans="1:12" x14ac:dyDescent="0.6">
      <c r="A337">
        <v>336</v>
      </c>
      <c r="B337" s="1" t="s">
        <v>78</v>
      </c>
      <c r="C337" t="s">
        <v>10</v>
      </c>
      <c r="D337">
        <v>224</v>
      </c>
      <c r="F337">
        <v>38.1</v>
      </c>
      <c r="G337">
        <v>24.432432500000001</v>
      </c>
      <c r="H337">
        <f>PI()*(D337+F337)</f>
        <v>823.41143450588481</v>
      </c>
      <c r="I337">
        <v>1.4999999999999999E-2</v>
      </c>
      <c r="J337">
        <v>96</v>
      </c>
      <c r="K337">
        <f t="shared" si="34"/>
        <v>0.53925413170472258</v>
      </c>
      <c r="L337">
        <f t="shared" si="35"/>
        <v>169.17467491523038</v>
      </c>
    </row>
    <row r="338" spans="1:12" x14ac:dyDescent="0.6">
      <c r="A338">
        <v>337</v>
      </c>
      <c r="B338" s="1" t="s">
        <v>78</v>
      </c>
      <c r="C338" t="s">
        <v>7</v>
      </c>
      <c r="D338">
        <v>305</v>
      </c>
      <c r="F338">
        <v>38.1</v>
      </c>
      <c r="G338">
        <v>24.956452500000001</v>
      </c>
      <c r="H338">
        <f>4*D338+2*F338</f>
        <v>1296.2</v>
      </c>
      <c r="I338">
        <v>1.9E-2</v>
      </c>
      <c r="J338">
        <v>114</v>
      </c>
      <c r="K338">
        <f t="shared" si="34"/>
        <v>0.58710175906399675</v>
      </c>
      <c r="L338">
        <f t="shared" si="35"/>
        <v>289.94149533762476</v>
      </c>
    </row>
    <row r="339" spans="1:12" x14ac:dyDescent="0.6">
      <c r="A339">
        <v>338</v>
      </c>
      <c r="B339" s="1" t="s">
        <v>78</v>
      </c>
      <c r="C339" t="s">
        <v>10</v>
      </c>
      <c r="D339">
        <v>76</v>
      </c>
      <c r="F339">
        <v>38.1</v>
      </c>
      <c r="G339">
        <v>18.930222499999999</v>
      </c>
      <c r="H339">
        <f t="shared" ref="H339:H341" si="39">PI()*(D339+F339)</f>
        <v>358.45572177459536</v>
      </c>
      <c r="I339">
        <v>0.01</v>
      </c>
      <c r="J339">
        <v>39</v>
      </c>
      <c r="K339">
        <f t="shared" si="34"/>
        <v>0.43362642438049653</v>
      </c>
      <c r="L339">
        <f t="shared" si="35"/>
        <v>59.221067587034049</v>
      </c>
    </row>
    <row r="340" spans="1:12" x14ac:dyDescent="0.6">
      <c r="A340">
        <v>339</v>
      </c>
      <c r="B340" s="1" t="s">
        <v>78</v>
      </c>
      <c r="C340" t="s">
        <v>10</v>
      </c>
      <c r="D340">
        <v>154</v>
      </c>
      <c r="F340">
        <v>38.1</v>
      </c>
      <c r="G340">
        <v>21.05905375</v>
      </c>
      <c r="H340">
        <f t="shared" si="39"/>
        <v>603.49994875459925</v>
      </c>
      <c r="I340">
        <v>1.7000000000000001E-2</v>
      </c>
      <c r="J340">
        <v>73</v>
      </c>
      <c r="K340">
        <f t="shared" si="34"/>
        <v>0.53510291628972118</v>
      </c>
      <c r="L340">
        <f t="shared" si="35"/>
        <v>123.03807595508695</v>
      </c>
    </row>
    <row r="341" spans="1:12" x14ac:dyDescent="0.6">
      <c r="A341">
        <v>340</v>
      </c>
      <c r="B341" s="1" t="s">
        <v>78</v>
      </c>
      <c r="C341" t="s">
        <v>10</v>
      </c>
      <c r="D341">
        <v>302</v>
      </c>
      <c r="F341">
        <v>38.1</v>
      </c>
      <c r="G341">
        <v>22.79487</v>
      </c>
      <c r="H341">
        <f t="shared" si="39"/>
        <v>1068.4556614858886</v>
      </c>
      <c r="I341">
        <v>0.01</v>
      </c>
      <c r="J341">
        <v>101</v>
      </c>
      <c r="K341">
        <f t="shared" si="34"/>
        <v>0.46104211812661761</v>
      </c>
      <c r="L341">
        <f t="shared" si="35"/>
        <v>187.6817663537114</v>
      </c>
    </row>
    <row r="342" spans="1:12" x14ac:dyDescent="0.6">
      <c r="A342">
        <v>341</v>
      </c>
      <c r="B342" s="1" t="s">
        <v>78</v>
      </c>
      <c r="C342" t="s">
        <v>7</v>
      </c>
      <c r="D342">
        <v>229</v>
      </c>
      <c r="F342">
        <v>38.1</v>
      </c>
      <c r="G342">
        <v>19.585247500000001</v>
      </c>
      <c r="H342">
        <f>4*D342+2*F342</f>
        <v>992.2</v>
      </c>
      <c r="I342">
        <v>1.7000000000000001E-2</v>
      </c>
      <c r="J342">
        <v>80</v>
      </c>
      <c r="K342">
        <f t="shared" si="34"/>
        <v>0.52244320799442567</v>
      </c>
      <c r="L342">
        <f t="shared" si="35"/>
        <v>197.49826552035836</v>
      </c>
    </row>
    <row r="343" spans="1:12" x14ac:dyDescent="0.6">
      <c r="A343">
        <v>342</v>
      </c>
      <c r="B343" s="1" t="s">
        <v>78</v>
      </c>
      <c r="C343" t="s">
        <v>10</v>
      </c>
      <c r="D343">
        <v>154</v>
      </c>
      <c r="F343">
        <v>38.1</v>
      </c>
      <c r="G343">
        <v>20.436779999999999</v>
      </c>
      <c r="H343">
        <f>PI()*(D343+F343)</f>
        <v>603.49994875459925</v>
      </c>
      <c r="I343">
        <v>1.9E-2</v>
      </c>
      <c r="J343">
        <v>97</v>
      </c>
      <c r="K343">
        <f t="shared" si="34"/>
        <v>0.54964104375572065</v>
      </c>
      <c r="L343">
        <f t="shared" si="35"/>
        <v>126.38087820294071</v>
      </c>
    </row>
    <row r="344" spans="1:12" x14ac:dyDescent="0.6">
      <c r="A344">
        <v>343</v>
      </c>
      <c r="B344" s="2" t="s">
        <v>79</v>
      </c>
      <c r="C344" t="s">
        <v>12</v>
      </c>
      <c r="D344">
        <v>152</v>
      </c>
      <c r="E344">
        <v>457</v>
      </c>
      <c r="F344">
        <v>117.348</v>
      </c>
      <c r="G344">
        <v>24.605</v>
      </c>
      <c r="H344">
        <f t="shared" ref="H344:H346" si="40">2*D344+2*E344+2*F344</f>
        <v>1452.6959999999999</v>
      </c>
      <c r="I344">
        <v>0.01</v>
      </c>
      <c r="J344">
        <v>320</v>
      </c>
      <c r="K344">
        <f t="shared" si="34"/>
        <v>0.32618976340905165</v>
      </c>
      <c r="L344">
        <f t="shared" si="35"/>
        <v>556.0588544025901</v>
      </c>
    </row>
    <row r="345" spans="1:12" x14ac:dyDescent="0.6">
      <c r="A345">
        <v>344</v>
      </c>
      <c r="B345" s="2" t="s">
        <v>79</v>
      </c>
      <c r="C345" t="s">
        <v>12</v>
      </c>
      <c r="D345">
        <v>114</v>
      </c>
      <c r="E345">
        <v>495</v>
      </c>
      <c r="F345">
        <v>120.65</v>
      </c>
      <c r="G345">
        <v>24.795000000000002</v>
      </c>
      <c r="H345">
        <f t="shared" si="40"/>
        <v>1459.3</v>
      </c>
      <c r="I345">
        <v>1.2E-2</v>
      </c>
      <c r="J345">
        <v>314</v>
      </c>
      <c r="K345">
        <f t="shared" si="34"/>
        <v>0.34413238549094111</v>
      </c>
      <c r="L345">
        <f t="shared" si="35"/>
        <v>605.89511871227148</v>
      </c>
    </row>
    <row r="346" spans="1:12" x14ac:dyDescent="0.6">
      <c r="A346">
        <v>345</v>
      </c>
      <c r="B346" s="2" t="s">
        <v>79</v>
      </c>
      <c r="C346" t="s">
        <v>12</v>
      </c>
      <c r="D346">
        <v>152</v>
      </c>
      <c r="E346">
        <v>305</v>
      </c>
      <c r="F346">
        <v>120.65</v>
      </c>
      <c r="G346">
        <v>28.024999999999999</v>
      </c>
      <c r="H346">
        <f t="shared" si="40"/>
        <v>1155.3</v>
      </c>
      <c r="I346">
        <v>1.0999999999999999E-2</v>
      </c>
      <c r="J346">
        <v>315</v>
      </c>
      <c r="K346">
        <f t="shared" si="34"/>
        <v>0.34818111982626238</v>
      </c>
      <c r="L346">
        <f t="shared" si="35"/>
        <v>485.31902599261639</v>
      </c>
    </row>
    <row r="347" spans="1:12" x14ac:dyDescent="0.6">
      <c r="A347">
        <v>346</v>
      </c>
      <c r="B347" s="2" t="s">
        <v>80</v>
      </c>
      <c r="C347" t="s">
        <v>7</v>
      </c>
      <c r="D347">
        <v>102</v>
      </c>
      <c r="F347">
        <v>45.72</v>
      </c>
      <c r="G347">
        <v>31.235039499999999</v>
      </c>
      <c r="H347">
        <f t="shared" ref="H347:H354" si="41">4*D347+2*F347</f>
        <v>499.44</v>
      </c>
      <c r="I347">
        <v>1.4999999999999999E-2</v>
      </c>
      <c r="J347">
        <v>65</v>
      </c>
      <c r="K347">
        <f t="shared" si="34"/>
        <v>0.55063845276823975</v>
      </c>
      <c r="L347">
        <f t="shared" si="35"/>
        <v>125.73496923848043</v>
      </c>
    </row>
    <row r="348" spans="1:12" x14ac:dyDescent="0.6">
      <c r="A348">
        <v>347</v>
      </c>
      <c r="B348" s="2" t="s">
        <v>80</v>
      </c>
      <c r="C348" t="s">
        <v>7</v>
      </c>
      <c r="D348">
        <v>102</v>
      </c>
      <c r="F348">
        <v>45.72</v>
      </c>
      <c r="G348">
        <v>25.712144500000001</v>
      </c>
      <c r="H348">
        <f t="shared" si="41"/>
        <v>499.44</v>
      </c>
      <c r="I348">
        <v>1.9E-2</v>
      </c>
      <c r="J348">
        <v>63</v>
      </c>
      <c r="K348">
        <f t="shared" si="34"/>
        <v>0.55828873962948766</v>
      </c>
      <c r="L348">
        <f t="shared" si="35"/>
        <v>127.48186609671606</v>
      </c>
    </row>
    <row r="349" spans="1:12" x14ac:dyDescent="0.6">
      <c r="A349">
        <v>348</v>
      </c>
      <c r="B349" s="2" t="s">
        <v>80</v>
      </c>
      <c r="C349" t="s">
        <v>7</v>
      </c>
      <c r="D349">
        <v>102</v>
      </c>
      <c r="F349">
        <v>45.72</v>
      </c>
      <c r="G349">
        <v>25.712144500000001</v>
      </c>
      <c r="H349">
        <f t="shared" si="41"/>
        <v>499.44</v>
      </c>
      <c r="I349">
        <v>1.0999999999999999E-2</v>
      </c>
      <c r="J349">
        <v>61</v>
      </c>
      <c r="K349">
        <f t="shared" si="34"/>
        <v>0.46615437681330352</v>
      </c>
      <c r="L349">
        <f t="shared" si="35"/>
        <v>106.44354010211691</v>
      </c>
    </row>
    <row r="350" spans="1:12" x14ac:dyDescent="0.6">
      <c r="A350">
        <v>349</v>
      </c>
      <c r="B350" s="2" t="s">
        <v>80</v>
      </c>
      <c r="C350" t="s">
        <v>7</v>
      </c>
      <c r="D350">
        <v>102</v>
      </c>
      <c r="F350">
        <v>45.72</v>
      </c>
      <c r="G350">
        <v>25.834875499999999</v>
      </c>
      <c r="H350">
        <f t="shared" si="41"/>
        <v>499.44</v>
      </c>
      <c r="I350">
        <v>1.2E-2</v>
      </c>
      <c r="J350">
        <v>64</v>
      </c>
      <c r="K350">
        <f t="shared" si="34"/>
        <v>0.4804878999691104</v>
      </c>
      <c r="L350">
        <f t="shared" si="35"/>
        <v>109.71651365493375</v>
      </c>
    </row>
    <row r="351" spans="1:12" x14ac:dyDescent="0.6">
      <c r="A351">
        <v>350</v>
      </c>
      <c r="B351" s="2" t="s">
        <v>80</v>
      </c>
      <c r="C351" t="s">
        <v>7</v>
      </c>
      <c r="D351">
        <v>102</v>
      </c>
      <c r="F351">
        <v>45.72</v>
      </c>
      <c r="G351">
        <v>27.921302499999999</v>
      </c>
      <c r="H351">
        <f t="shared" si="41"/>
        <v>499.44</v>
      </c>
      <c r="I351">
        <v>1.0569844E-2</v>
      </c>
      <c r="J351">
        <v>88</v>
      </c>
      <c r="K351">
        <f t="shared" si="34"/>
        <v>0.47274391131907728</v>
      </c>
      <c r="L351">
        <f t="shared" si="35"/>
        <v>107.94822055843821</v>
      </c>
    </row>
    <row r="352" spans="1:12" x14ac:dyDescent="0.6">
      <c r="A352">
        <v>351</v>
      </c>
      <c r="B352" s="2" t="s">
        <v>80</v>
      </c>
      <c r="C352" t="s">
        <v>7</v>
      </c>
      <c r="D352">
        <v>102</v>
      </c>
      <c r="F352">
        <v>45.72</v>
      </c>
      <c r="G352">
        <v>26.325799499999999</v>
      </c>
      <c r="H352">
        <f t="shared" si="41"/>
        <v>499.44</v>
      </c>
      <c r="I352">
        <v>1.0569844E-2</v>
      </c>
      <c r="J352">
        <v>87</v>
      </c>
      <c r="K352">
        <f t="shared" si="34"/>
        <v>0.46365301647918905</v>
      </c>
      <c r="L352">
        <f t="shared" si="35"/>
        <v>105.87236955802742</v>
      </c>
    </row>
    <row r="353" spans="1:12" x14ac:dyDescent="0.6">
      <c r="A353">
        <v>352</v>
      </c>
      <c r="B353" s="2" t="s">
        <v>80</v>
      </c>
      <c r="C353" t="s">
        <v>7</v>
      </c>
      <c r="D353">
        <v>102</v>
      </c>
      <c r="F353">
        <v>45.72</v>
      </c>
      <c r="G353">
        <v>27.000820000000001</v>
      </c>
      <c r="H353">
        <f t="shared" si="41"/>
        <v>499.44</v>
      </c>
      <c r="I353">
        <v>1.0569844E-2</v>
      </c>
      <c r="J353">
        <v>67</v>
      </c>
      <c r="K353">
        <f t="shared" si="34"/>
        <v>0.46754300780400604</v>
      </c>
      <c r="L353">
        <f t="shared" si="35"/>
        <v>106.76062561262171</v>
      </c>
    </row>
    <row r="354" spans="1:12" x14ac:dyDescent="0.6">
      <c r="A354">
        <v>353</v>
      </c>
      <c r="B354" s="2" t="s">
        <v>80</v>
      </c>
      <c r="C354" t="s">
        <v>7</v>
      </c>
      <c r="D354">
        <v>102</v>
      </c>
      <c r="F354">
        <v>45.72</v>
      </c>
      <c r="G354">
        <v>25.773510000000002</v>
      </c>
      <c r="H354">
        <f t="shared" si="41"/>
        <v>499.44</v>
      </c>
      <c r="I354">
        <v>1.0569844E-2</v>
      </c>
      <c r="J354">
        <v>83</v>
      </c>
      <c r="K354">
        <f t="shared" si="34"/>
        <v>0.46042028465468632</v>
      </c>
      <c r="L354">
        <f t="shared" si="35"/>
        <v>105.13419474574057</v>
      </c>
    </row>
    <row r="355" spans="1:12" x14ac:dyDescent="0.6">
      <c r="A355">
        <v>354</v>
      </c>
      <c r="B355" s="1" t="s">
        <v>24</v>
      </c>
      <c r="C355" t="s">
        <v>10</v>
      </c>
      <c r="D355">
        <v>254</v>
      </c>
      <c r="F355">
        <v>38.1</v>
      </c>
      <c r="G355">
        <v>28.690094999999999</v>
      </c>
      <c r="H355">
        <f t="shared" ref="H355:H372" si="42">PI()*(D355+F355)</f>
        <v>917.65921411357863</v>
      </c>
      <c r="I355">
        <v>1.0569844E-2</v>
      </c>
      <c r="J355">
        <v>67</v>
      </c>
      <c r="K355">
        <f t="shared" si="34"/>
        <v>0.50658058175295595</v>
      </c>
      <c r="L355">
        <f t="shared" si="35"/>
        <v>177.1148369824511</v>
      </c>
    </row>
    <row r="356" spans="1:12" x14ac:dyDescent="0.6">
      <c r="A356">
        <v>355</v>
      </c>
      <c r="B356" s="1" t="s">
        <v>24</v>
      </c>
      <c r="C356" t="s">
        <v>10</v>
      </c>
      <c r="D356">
        <v>203</v>
      </c>
      <c r="F356">
        <v>38.1</v>
      </c>
      <c r="G356">
        <v>28.690094999999999</v>
      </c>
      <c r="H356">
        <f t="shared" si="42"/>
        <v>757.43798878049915</v>
      </c>
      <c r="I356">
        <v>1.0569844E-2</v>
      </c>
      <c r="J356">
        <v>56</v>
      </c>
      <c r="K356">
        <f t="shared" si="34"/>
        <v>0.50658058175295595</v>
      </c>
      <c r="L356">
        <f t="shared" si="35"/>
        <v>146.19098663631962</v>
      </c>
    </row>
    <row r="357" spans="1:12" x14ac:dyDescent="0.6">
      <c r="A357">
        <v>356</v>
      </c>
      <c r="B357" s="1" t="s">
        <v>24</v>
      </c>
      <c r="C357" t="s">
        <v>10</v>
      </c>
      <c r="D357">
        <v>152</v>
      </c>
      <c r="F357">
        <v>38.1</v>
      </c>
      <c r="G357">
        <v>28.690094999999999</v>
      </c>
      <c r="H357">
        <f t="shared" si="42"/>
        <v>597.21676344741968</v>
      </c>
      <c r="I357">
        <v>7.34017E-3</v>
      </c>
      <c r="J357">
        <v>58</v>
      </c>
      <c r="K357">
        <f t="shared" si="34"/>
        <v>0.44914743810931401</v>
      </c>
      <c r="L357">
        <f t="shared" si="35"/>
        <v>102.19882251266935</v>
      </c>
    </row>
    <row r="358" spans="1:12" x14ac:dyDescent="0.6">
      <c r="A358">
        <v>357</v>
      </c>
      <c r="B358" s="1" t="s">
        <v>24</v>
      </c>
      <c r="C358" t="s">
        <v>10</v>
      </c>
      <c r="D358">
        <v>114</v>
      </c>
      <c r="F358">
        <v>38.1</v>
      </c>
      <c r="G358">
        <v>35.043837500000002</v>
      </c>
      <c r="H358">
        <f t="shared" si="42"/>
        <v>477.83624261100749</v>
      </c>
      <c r="I358">
        <v>9.7868929999999996E-3</v>
      </c>
      <c r="J358">
        <v>59</v>
      </c>
      <c r="K358">
        <f t="shared" si="34"/>
        <v>0.52758081769509468</v>
      </c>
      <c r="L358">
        <f t="shared" si="35"/>
        <v>96.049046764006519</v>
      </c>
    </row>
    <row r="359" spans="1:12" x14ac:dyDescent="0.6">
      <c r="A359">
        <v>358</v>
      </c>
      <c r="B359" s="1" t="s">
        <v>24</v>
      </c>
      <c r="C359" t="s">
        <v>10</v>
      </c>
      <c r="D359">
        <v>114</v>
      </c>
      <c r="F359">
        <v>38.1</v>
      </c>
      <c r="G359">
        <v>35.043837500000002</v>
      </c>
      <c r="H359">
        <f t="shared" si="42"/>
        <v>477.83624261100749</v>
      </c>
      <c r="I359">
        <v>3.670085E-3</v>
      </c>
      <c r="J359">
        <v>83</v>
      </c>
      <c r="K359">
        <f t="shared" si="34"/>
        <v>0.38169750388485091</v>
      </c>
      <c r="L359">
        <f t="shared" si="35"/>
        <v>69.490171307798633</v>
      </c>
    </row>
    <row r="360" spans="1:12" x14ac:dyDescent="0.6">
      <c r="A360">
        <v>359</v>
      </c>
      <c r="B360" s="1" t="s">
        <v>24</v>
      </c>
      <c r="C360" t="s">
        <v>10</v>
      </c>
      <c r="D360">
        <v>114</v>
      </c>
      <c r="F360">
        <v>38.1</v>
      </c>
      <c r="G360">
        <v>35.043837500000002</v>
      </c>
      <c r="H360">
        <f t="shared" si="42"/>
        <v>477.83624261100749</v>
      </c>
      <c r="I360">
        <v>4.6977090000000004E-3</v>
      </c>
      <c r="J360">
        <v>70</v>
      </c>
      <c r="K360">
        <f t="shared" si="34"/>
        <v>0.41409369308825839</v>
      </c>
      <c r="L360">
        <f t="shared" si="35"/>
        <v>75.388079244193676</v>
      </c>
    </row>
    <row r="361" spans="1:12" x14ac:dyDescent="0.6">
      <c r="A361">
        <v>360</v>
      </c>
      <c r="B361" s="1" t="s">
        <v>24</v>
      </c>
      <c r="C361" t="s">
        <v>10</v>
      </c>
      <c r="D361">
        <v>114</v>
      </c>
      <c r="F361">
        <v>38.1</v>
      </c>
      <c r="G361">
        <v>38.253459999999997</v>
      </c>
      <c r="H361">
        <f t="shared" si="42"/>
        <v>477.83624261100749</v>
      </c>
      <c r="I361">
        <v>4.6977090000000004E-3</v>
      </c>
      <c r="J361">
        <v>81</v>
      </c>
      <c r="K361">
        <f t="shared" si="34"/>
        <v>0.42624383190361881</v>
      </c>
      <c r="L361">
        <f t="shared" si="35"/>
        <v>77.600080158791314</v>
      </c>
    </row>
    <row r="362" spans="1:12" x14ac:dyDescent="0.6">
      <c r="A362">
        <v>361</v>
      </c>
      <c r="B362" s="1" t="s">
        <v>24</v>
      </c>
      <c r="C362" t="s">
        <v>10</v>
      </c>
      <c r="D362">
        <v>114</v>
      </c>
      <c r="F362">
        <v>38.1</v>
      </c>
      <c r="G362">
        <v>38.253459999999997</v>
      </c>
      <c r="H362">
        <f t="shared" si="42"/>
        <v>477.83624261100749</v>
      </c>
      <c r="I362">
        <v>4.6977090000000004E-3</v>
      </c>
      <c r="J362">
        <v>82</v>
      </c>
      <c r="K362">
        <f t="shared" si="34"/>
        <v>0.42624383190361881</v>
      </c>
      <c r="L362">
        <f t="shared" si="35"/>
        <v>77.600080158791314</v>
      </c>
    </row>
    <row r="363" spans="1:12" x14ac:dyDescent="0.6">
      <c r="A363">
        <v>362</v>
      </c>
      <c r="B363" s="1" t="s">
        <v>24</v>
      </c>
      <c r="C363" t="s">
        <v>10</v>
      </c>
      <c r="D363">
        <v>114</v>
      </c>
      <c r="F363">
        <v>38.1</v>
      </c>
      <c r="G363">
        <v>38.253459999999997</v>
      </c>
      <c r="H363">
        <f t="shared" si="42"/>
        <v>477.83624261100749</v>
      </c>
      <c r="I363">
        <v>5.2599999999999999E-3</v>
      </c>
      <c r="J363">
        <v>79</v>
      </c>
      <c r="K363">
        <f t="shared" si="34"/>
        <v>0.44244672667307139</v>
      </c>
      <c r="L363">
        <f t="shared" si="35"/>
        <v>80.549908024448953</v>
      </c>
    </row>
    <row r="364" spans="1:12" x14ac:dyDescent="0.6">
      <c r="A364">
        <v>363</v>
      </c>
      <c r="B364" s="1" t="s">
        <v>24</v>
      </c>
      <c r="C364" t="s">
        <v>10</v>
      </c>
      <c r="D364">
        <v>114</v>
      </c>
      <c r="F364">
        <v>38.1</v>
      </c>
      <c r="G364">
        <v>44.017679999999999</v>
      </c>
      <c r="H364">
        <f t="shared" si="42"/>
        <v>477.83624261100749</v>
      </c>
      <c r="I364">
        <v>5.7800000000000004E-3</v>
      </c>
      <c r="J364">
        <v>71</v>
      </c>
      <c r="K364">
        <f t="shared" si="34"/>
        <v>0.47806560403008036</v>
      </c>
      <c r="L364">
        <f t="shared" si="35"/>
        <v>87.034524413443521</v>
      </c>
    </row>
    <row r="365" spans="1:12" x14ac:dyDescent="0.6">
      <c r="A365">
        <v>364</v>
      </c>
      <c r="B365" s="1" t="s">
        <v>24</v>
      </c>
      <c r="C365" t="s">
        <v>10</v>
      </c>
      <c r="D365">
        <v>114</v>
      </c>
      <c r="F365">
        <v>38.1</v>
      </c>
      <c r="G365">
        <v>42.773132500000003</v>
      </c>
      <c r="H365">
        <f t="shared" si="42"/>
        <v>477.83624261100749</v>
      </c>
      <c r="I365">
        <v>6.6E-3</v>
      </c>
      <c r="J365">
        <v>82</v>
      </c>
      <c r="K365">
        <f t="shared" si="34"/>
        <v>0.49475512301414648</v>
      </c>
      <c r="L365">
        <f t="shared" si="35"/>
        <v>90.07294494657171</v>
      </c>
    </row>
    <row r="366" spans="1:12" x14ac:dyDescent="0.6">
      <c r="A366">
        <v>365</v>
      </c>
      <c r="B366" s="1" t="s">
        <v>24</v>
      </c>
      <c r="C366" t="s">
        <v>10</v>
      </c>
      <c r="D366">
        <v>114</v>
      </c>
      <c r="F366">
        <v>38.1</v>
      </c>
      <c r="G366">
        <v>49.25788</v>
      </c>
      <c r="H366">
        <f t="shared" si="42"/>
        <v>477.83624261100749</v>
      </c>
      <c r="I366">
        <v>1.2E-2</v>
      </c>
      <c r="J366">
        <v>83</v>
      </c>
      <c r="K366">
        <f t="shared" si="34"/>
        <v>0.63139501672670673</v>
      </c>
      <c r="L366">
        <f t="shared" si="35"/>
        <v>114.94900393287745</v>
      </c>
    </row>
    <row r="367" spans="1:12" x14ac:dyDescent="0.6">
      <c r="A367">
        <v>366</v>
      </c>
      <c r="B367" s="1" t="s">
        <v>24</v>
      </c>
      <c r="C367" t="s">
        <v>10</v>
      </c>
      <c r="D367">
        <v>114</v>
      </c>
      <c r="F367">
        <v>38.1</v>
      </c>
      <c r="G367">
        <v>50.960945000000002</v>
      </c>
      <c r="H367">
        <f t="shared" si="42"/>
        <v>477.83624261100749</v>
      </c>
      <c r="I367">
        <v>8.9300000000000004E-3</v>
      </c>
      <c r="J367">
        <v>84</v>
      </c>
      <c r="K367">
        <f t="shared" si="34"/>
        <v>0.57919352722183925</v>
      </c>
      <c r="L367">
        <f t="shared" si="35"/>
        <v>105.44542999986628</v>
      </c>
    </row>
    <row r="368" spans="1:12" x14ac:dyDescent="0.6">
      <c r="A368">
        <v>367</v>
      </c>
      <c r="B368" s="1" t="s">
        <v>24</v>
      </c>
      <c r="C368" t="s">
        <v>10</v>
      </c>
      <c r="D368">
        <v>114</v>
      </c>
      <c r="F368">
        <v>38.1</v>
      </c>
      <c r="G368">
        <v>36.812404999999998</v>
      </c>
      <c r="H368">
        <f t="shared" si="42"/>
        <v>477.83624261100749</v>
      </c>
      <c r="I368">
        <v>8.9300000000000004E-3</v>
      </c>
      <c r="J368">
        <v>83</v>
      </c>
      <c r="K368">
        <f t="shared" si="34"/>
        <v>0.52025159084614148</v>
      </c>
      <c r="L368">
        <f t="shared" si="35"/>
        <v>94.714719910663717</v>
      </c>
    </row>
    <row r="369" spans="1:12" x14ac:dyDescent="0.6">
      <c r="A369">
        <v>368</v>
      </c>
      <c r="B369" s="1" t="s">
        <v>24</v>
      </c>
      <c r="C369" t="s">
        <v>10</v>
      </c>
      <c r="D369">
        <v>114</v>
      </c>
      <c r="F369">
        <v>38.1</v>
      </c>
      <c r="G369">
        <v>38.122455000000002</v>
      </c>
      <c r="H369">
        <f t="shared" si="42"/>
        <v>477.83624261100749</v>
      </c>
      <c r="I369">
        <v>8.8999999999999999E-3</v>
      </c>
      <c r="J369">
        <v>77</v>
      </c>
      <c r="K369">
        <f t="shared" si="34"/>
        <v>0.52570576359080634</v>
      </c>
      <c r="L369">
        <f t="shared" si="35"/>
        <v>95.707682648202152</v>
      </c>
    </row>
    <row r="370" spans="1:12" x14ac:dyDescent="0.6">
      <c r="A370">
        <v>369</v>
      </c>
      <c r="B370" s="1" t="s">
        <v>24</v>
      </c>
      <c r="C370" t="s">
        <v>10</v>
      </c>
      <c r="D370">
        <v>114</v>
      </c>
      <c r="F370">
        <v>38.1</v>
      </c>
      <c r="G370">
        <v>29.083110000000001</v>
      </c>
      <c r="H370">
        <f t="shared" si="42"/>
        <v>477.83624261100749</v>
      </c>
      <c r="I370">
        <v>9.2999999999999992E-3</v>
      </c>
      <c r="J370">
        <v>75</v>
      </c>
      <c r="K370">
        <f t="shared" si="34"/>
        <v>0.48781506067394104</v>
      </c>
      <c r="L370">
        <f t="shared" si="35"/>
        <v>88.809467674650222</v>
      </c>
    </row>
    <row r="371" spans="1:12" x14ac:dyDescent="0.6">
      <c r="A371">
        <v>370</v>
      </c>
      <c r="B371" s="1" t="s">
        <v>24</v>
      </c>
      <c r="C371" t="s">
        <v>10</v>
      </c>
      <c r="D371">
        <v>114</v>
      </c>
      <c r="F371">
        <v>38.1</v>
      </c>
      <c r="G371">
        <v>27.773060000000001</v>
      </c>
      <c r="H371">
        <f t="shared" si="42"/>
        <v>477.83624261100749</v>
      </c>
      <c r="I371">
        <v>2.0199999999999999E-2</v>
      </c>
      <c r="J371">
        <v>74</v>
      </c>
      <c r="K371">
        <f t="shared" si="34"/>
        <v>0.62060623706567775</v>
      </c>
      <c r="L371">
        <f t="shared" si="35"/>
        <v>112.98484608741987</v>
      </c>
    </row>
    <row r="372" spans="1:12" x14ac:dyDescent="0.6">
      <c r="A372">
        <v>371</v>
      </c>
      <c r="B372" s="2" t="s">
        <v>82</v>
      </c>
      <c r="C372" t="s">
        <v>10</v>
      </c>
      <c r="D372">
        <v>500</v>
      </c>
      <c r="F372">
        <v>240</v>
      </c>
      <c r="G372">
        <v>26.175000000000001</v>
      </c>
      <c r="H372">
        <f t="shared" si="42"/>
        <v>2324.7785636564467</v>
      </c>
      <c r="I372">
        <v>1.255E-2</v>
      </c>
      <c r="J372">
        <v>1662</v>
      </c>
      <c r="K372">
        <f t="shared" si="34"/>
        <v>0.28336416142438392</v>
      </c>
      <c r="L372">
        <f t="shared" si="35"/>
        <v>1581.0214276509425</v>
      </c>
    </row>
    <row r="373" spans="1:12" x14ac:dyDescent="0.6">
      <c r="A373">
        <v>372</v>
      </c>
      <c r="B373" s="2" t="s">
        <v>81</v>
      </c>
      <c r="C373" t="s">
        <v>7</v>
      </c>
      <c r="D373">
        <v>254</v>
      </c>
      <c r="F373">
        <v>111.252</v>
      </c>
      <c r="G373">
        <v>17.765000000000001</v>
      </c>
      <c r="H373">
        <f t="shared" ref="H373:H408" si="43">4*D373+2*F373</f>
        <v>1238.5039999999999</v>
      </c>
      <c r="I373">
        <v>1.255E-2</v>
      </c>
      <c r="J373">
        <v>334</v>
      </c>
      <c r="K373">
        <f t="shared" si="34"/>
        <v>0.32135640531820509</v>
      </c>
      <c r="L373">
        <f t="shared" si="35"/>
        <v>442.78428769496099</v>
      </c>
    </row>
    <row r="374" spans="1:12" x14ac:dyDescent="0.6">
      <c r="A374">
        <v>373</v>
      </c>
      <c r="B374" s="2" t="s">
        <v>81</v>
      </c>
      <c r="C374" t="s">
        <v>7</v>
      </c>
      <c r="D374">
        <v>203</v>
      </c>
      <c r="F374">
        <v>111.252</v>
      </c>
      <c r="G374">
        <v>19.38</v>
      </c>
      <c r="H374">
        <f t="shared" si="43"/>
        <v>1034.5039999999999</v>
      </c>
      <c r="I374">
        <v>1.3270000000000001E-2</v>
      </c>
      <c r="J374">
        <v>266</v>
      </c>
      <c r="K374">
        <f t="shared" si="34"/>
        <v>0.33686210709853298</v>
      </c>
      <c r="L374">
        <f t="shared" si="35"/>
        <v>387.69675163551489</v>
      </c>
    </row>
    <row r="375" spans="1:12" x14ac:dyDescent="0.6">
      <c r="A375">
        <v>374</v>
      </c>
      <c r="B375" s="2" t="s">
        <v>83</v>
      </c>
      <c r="C375" t="s">
        <v>7</v>
      </c>
      <c r="D375">
        <v>152</v>
      </c>
      <c r="F375">
        <v>51</v>
      </c>
      <c r="G375">
        <v>11.11320755</v>
      </c>
      <c r="H375">
        <f t="shared" si="43"/>
        <v>710</v>
      </c>
      <c r="I375">
        <v>1.21E-2</v>
      </c>
      <c r="J375">
        <v>113</v>
      </c>
      <c r="K375">
        <f t="shared" si="34"/>
        <v>0.35180954542406068</v>
      </c>
      <c r="L375">
        <f t="shared" si="35"/>
        <v>127.39023639805237</v>
      </c>
    </row>
    <row r="376" spans="1:12" x14ac:dyDescent="0.6">
      <c r="A376">
        <v>375</v>
      </c>
      <c r="B376" s="2" t="s">
        <v>83</v>
      </c>
      <c r="C376" t="s">
        <v>7</v>
      </c>
      <c r="D376">
        <v>152</v>
      </c>
      <c r="F376">
        <v>51</v>
      </c>
      <c r="G376">
        <v>13.622641509999999</v>
      </c>
      <c r="H376">
        <f t="shared" si="43"/>
        <v>710</v>
      </c>
      <c r="I376">
        <v>7.3600000000000002E-3</v>
      </c>
      <c r="J376">
        <v>123</v>
      </c>
      <c r="K376">
        <f t="shared" si="34"/>
        <v>0.31932825895494216</v>
      </c>
      <c r="L376">
        <f t="shared" si="35"/>
        <v>115.62876256758456</v>
      </c>
    </row>
    <row r="377" spans="1:12" x14ac:dyDescent="0.6">
      <c r="A377">
        <v>376</v>
      </c>
      <c r="B377" t="s">
        <v>16</v>
      </c>
      <c r="C377" t="s">
        <v>7</v>
      </c>
      <c r="D377">
        <v>203</v>
      </c>
      <c r="F377">
        <v>114</v>
      </c>
      <c r="G377">
        <v>15.484999999999999</v>
      </c>
      <c r="H377">
        <f t="shared" si="43"/>
        <v>1040</v>
      </c>
      <c r="I377">
        <v>1.04E-2</v>
      </c>
      <c r="J377">
        <v>316</v>
      </c>
      <c r="K377">
        <f t="shared" si="34"/>
        <v>0.28633385114752091</v>
      </c>
      <c r="L377">
        <f t="shared" si="35"/>
        <v>339.47741392050079</v>
      </c>
    </row>
    <row r="378" spans="1:12" x14ac:dyDescent="0.6">
      <c r="A378">
        <v>377</v>
      </c>
      <c r="B378" t="s">
        <v>16</v>
      </c>
      <c r="C378" t="s">
        <v>7</v>
      </c>
      <c r="D378">
        <v>203</v>
      </c>
      <c r="F378">
        <v>117</v>
      </c>
      <c r="G378">
        <v>14.725</v>
      </c>
      <c r="H378">
        <f t="shared" si="43"/>
        <v>1046</v>
      </c>
      <c r="I378">
        <v>8.7266459999999994E-3</v>
      </c>
      <c r="J378">
        <v>339</v>
      </c>
      <c r="K378">
        <f t="shared" si="34"/>
        <v>0.26350941600473932</v>
      </c>
      <c r="L378">
        <f t="shared" si="35"/>
        <v>322.48809349492007</v>
      </c>
    </row>
    <row r="379" spans="1:12" x14ac:dyDescent="0.6">
      <c r="A379">
        <v>378</v>
      </c>
      <c r="B379" t="s">
        <v>16</v>
      </c>
      <c r="C379" t="s">
        <v>7</v>
      </c>
      <c r="D379">
        <v>203</v>
      </c>
      <c r="F379">
        <v>121</v>
      </c>
      <c r="G379">
        <v>13.49</v>
      </c>
      <c r="H379">
        <f t="shared" si="43"/>
        <v>1054</v>
      </c>
      <c r="I379">
        <v>8.7266459999999994E-3</v>
      </c>
      <c r="J379">
        <v>301</v>
      </c>
      <c r="K379">
        <f t="shared" si="34"/>
        <v>0.25317685105763799</v>
      </c>
      <c r="L379">
        <f t="shared" si="35"/>
        <v>322.88656522784805</v>
      </c>
    </row>
    <row r="380" spans="1:12" x14ac:dyDescent="0.6">
      <c r="A380">
        <v>379</v>
      </c>
      <c r="B380" t="s">
        <v>16</v>
      </c>
      <c r="C380" t="s">
        <v>7</v>
      </c>
      <c r="D380">
        <v>203</v>
      </c>
      <c r="F380">
        <v>124</v>
      </c>
      <c r="G380">
        <v>13.3</v>
      </c>
      <c r="H380">
        <f t="shared" si="43"/>
        <v>1060</v>
      </c>
      <c r="I380">
        <v>8.7266459999999994E-3</v>
      </c>
      <c r="J380">
        <v>254</v>
      </c>
      <c r="K380">
        <f t="shared" si="34"/>
        <v>0.24996609643795253</v>
      </c>
      <c r="L380">
        <f t="shared" si="35"/>
        <v>328.55543715804481</v>
      </c>
    </row>
    <row r="381" spans="1:12" x14ac:dyDescent="0.6">
      <c r="A381">
        <v>380</v>
      </c>
      <c r="B381" t="s">
        <v>16</v>
      </c>
      <c r="C381" t="s">
        <v>7</v>
      </c>
      <c r="D381">
        <v>203</v>
      </c>
      <c r="F381">
        <v>117</v>
      </c>
      <c r="G381">
        <v>19.95</v>
      </c>
      <c r="H381">
        <f t="shared" si="43"/>
        <v>1046</v>
      </c>
      <c r="I381">
        <v>8.7266459999999994E-3</v>
      </c>
      <c r="J381">
        <v>339</v>
      </c>
      <c r="K381">
        <f t="shared" si="34"/>
        <v>0.29128562012487502</v>
      </c>
      <c r="L381">
        <f t="shared" si="35"/>
        <v>356.48116762122459</v>
      </c>
    </row>
    <row r="382" spans="1:12" x14ac:dyDescent="0.6">
      <c r="A382">
        <v>381</v>
      </c>
      <c r="B382" t="s">
        <v>16</v>
      </c>
      <c r="C382" t="s">
        <v>7</v>
      </c>
      <c r="D382">
        <v>203</v>
      </c>
      <c r="F382">
        <v>124</v>
      </c>
      <c r="G382">
        <v>33.630000000000003</v>
      </c>
      <c r="H382">
        <f t="shared" si="43"/>
        <v>1060</v>
      </c>
      <c r="I382">
        <v>8.7266459999999994E-3</v>
      </c>
      <c r="J382">
        <v>401</v>
      </c>
      <c r="K382">
        <f t="shared" si="34"/>
        <v>0.33949230338185699</v>
      </c>
      <c r="L382">
        <f t="shared" si="35"/>
        <v>446.22868356511282</v>
      </c>
    </row>
    <row r="383" spans="1:12" x14ac:dyDescent="0.6">
      <c r="A383">
        <v>382</v>
      </c>
      <c r="B383" t="s">
        <v>16</v>
      </c>
      <c r="C383" t="s">
        <v>7</v>
      </c>
      <c r="D383">
        <v>203</v>
      </c>
      <c r="F383">
        <v>117</v>
      </c>
      <c r="G383">
        <v>31.16</v>
      </c>
      <c r="H383">
        <f t="shared" si="43"/>
        <v>1046</v>
      </c>
      <c r="I383">
        <v>1.8512592000000001E-2</v>
      </c>
      <c r="J383">
        <v>411</v>
      </c>
      <c r="K383">
        <f t="shared" si="34"/>
        <v>0.43252339566829723</v>
      </c>
      <c r="L383">
        <f t="shared" si="35"/>
        <v>529.33078208677546</v>
      </c>
    </row>
    <row r="384" spans="1:12" x14ac:dyDescent="0.6">
      <c r="A384">
        <v>383</v>
      </c>
      <c r="B384" t="s">
        <v>16</v>
      </c>
      <c r="C384" t="s">
        <v>7</v>
      </c>
      <c r="D384">
        <v>203</v>
      </c>
      <c r="F384">
        <v>121</v>
      </c>
      <c r="G384">
        <v>30.875</v>
      </c>
      <c r="H384">
        <f t="shared" si="43"/>
        <v>1054</v>
      </c>
      <c r="I384">
        <v>1.8512592000000001E-2</v>
      </c>
      <c r="J384">
        <v>422</v>
      </c>
      <c r="K384">
        <f t="shared" si="34"/>
        <v>0.4264566654710969</v>
      </c>
      <c r="L384">
        <f t="shared" si="35"/>
        <v>543.87724374190873</v>
      </c>
    </row>
    <row r="385" spans="1:12" x14ac:dyDescent="0.6">
      <c r="A385">
        <v>384</v>
      </c>
      <c r="B385" t="s">
        <v>16</v>
      </c>
      <c r="C385" t="s">
        <v>7</v>
      </c>
      <c r="D385">
        <v>203</v>
      </c>
      <c r="F385">
        <v>124</v>
      </c>
      <c r="G385">
        <v>37.335000000000001</v>
      </c>
      <c r="H385">
        <f t="shared" si="43"/>
        <v>1060</v>
      </c>
      <c r="I385">
        <v>1.8512592000000001E-2</v>
      </c>
      <c r="J385">
        <v>411</v>
      </c>
      <c r="K385">
        <f t="shared" si="34"/>
        <v>0.45039437233123258</v>
      </c>
      <c r="L385">
        <f t="shared" si="35"/>
        <v>591.99836299217202</v>
      </c>
    </row>
    <row r="386" spans="1:12" x14ac:dyDescent="0.6">
      <c r="A386">
        <v>385</v>
      </c>
      <c r="B386" t="s">
        <v>16</v>
      </c>
      <c r="C386" t="s">
        <v>7</v>
      </c>
      <c r="D386">
        <v>203</v>
      </c>
      <c r="F386">
        <v>124</v>
      </c>
      <c r="G386">
        <v>39.33</v>
      </c>
      <c r="H386">
        <f t="shared" si="43"/>
        <v>1060</v>
      </c>
      <c r="I386">
        <v>1.0495366000000001E-2</v>
      </c>
      <c r="J386">
        <v>431</v>
      </c>
      <c r="K386">
        <f t="shared" si="34"/>
        <v>0.3799430848721379</v>
      </c>
      <c r="L386">
        <f t="shared" si="35"/>
        <v>499.39719075593808</v>
      </c>
    </row>
    <row r="387" spans="1:12" x14ac:dyDescent="0.6">
      <c r="A387">
        <v>386</v>
      </c>
      <c r="B387" t="s">
        <v>16</v>
      </c>
      <c r="C387" t="s">
        <v>7</v>
      </c>
      <c r="D387">
        <v>203</v>
      </c>
      <c r="F387">
        <v>124</v>
      </c>
      <c r="G387">
        <v>17.86</v>
      </c>
      <c r="H387">
        <f t="shared" si="43"/>
        <v>1060</v>
      </c>
      <c r="I387">
        <v>1.0495366000000001E-2</v>
      </c>
      <c r="J387">
        <v>242</v>
      </c>
      <c r="K387">
        <f t="shared" ref="K387:K450" si="44">(I387*G387*16/F387)^0.33</f>
        <v>0.2928063711440117</v>
      </c>
      <c r="L387">
        <f t="shared" ref="L387:L450" si="45">K387*H387*F387/100</f>
        <v>384.86469423168899</v>
      </c>
    </row>
    <row r="388" spans="1:12" x14ac:dyDescent="0.6">
      <c r="A388">
        <v>387</v>
      </c>
      <c r="B388" t="s">
        <v>16</v>
      </c>
      <c r="C388" t="s">
        <v>7</v>
      </c>
      <c r="D388">
        <v>203</v>
      </c>
      <c r="F388">
        <v>102</v>
      </c>
      <c r="G388">
        <v>18.335000000000001</v>
      </c>
      <c r="H388">
        <f t="shared" si="43"/>
        <v>1016</v>
      </c>
      <c r="I388">
        <v>1.0501725999999999E-2</v>
      </c>
      <c r="J388">
        <v>330</v>
      </c>
      <c r="K388">
        <f t="shared" si="44"/>
        <v>0.31507958493314941</v>
      </c>
      <c r="L388">
        <f t="shared" si="45"/>
        <v>326.52327545792139</v>
      </c>
    </row>
    <row r="389" spans="1:12" x14ac:dyDescent="0.6">
      <c r="A389">
        <v>388</v>
      </c>
      <c r="B389" t="s">
        <v>16</v>
      </c>
      <c r="C389" t="s">
        <v>7</v>
      </c>
      <c r="D389">
        <v>203</v>
      </c>
      <c r="F389">
        <v>117</v>
      </c>
      <c r="G389">
        <v>25.934999999999999</v>
      </c>
      <c r="H389">
        <f t="shared" si="43"/>
        <v>1046</v>
      </c>
      <c r="I389">
        <v>1.0501725999999999E-2</v>
      </c>
      <c r="J389">
        <v>292</v>
      </c>
      <c r="K389">
        <f t="shared" si="44"/>
        <v>0.33764222112265951</v>
      </c>
      <c r="L389">
        <f t="shared" si="45"/>
        <v>413.21330305433315</v>
      </c>
    </row>
    <row r="390" spans="1:12" x14ac:dyDescent="0.6">
      <c r="A390">
        <v>389</v>
      </c>
      <c r="B390" t="s">
        <v>16</v>
      </c>
      <c r="C390" t="s">
        <v>7</v>
      </c>
      <c r="D390">
        <v>203</v>
      </c>
      <c r="F390">
        <v>121</v>
      </c>
      <c r="G390">
        <v>19.57</v>
      </c>
      <c r="H390">
        <f t="shared" si="43"/>
        <v>1054</v>
      </c>
      <c r="I390">
        <v>1.1369979000000001E-2</v>
      </c>
      <c r="J390">
        <v>322</v>
      </c>
      <c r="K390">
        <f t="shared" si="44"/>
        <v>0.3123676736370804</v>
      </c>
      <c r="L390">
        <f t="shared" si="45"/>
        <v>398.37498889631411</v>
      </c>
    </row>
    <row r="391" spans="1:12" x14ac:dyDescent="0.6">
      <c r="A391">
        <v>390</v>
      </c>
      <c r="B391" t="s">
        <v>16</v>
      </c>
      <c r="C391" t="s">
        <v>7</v>
      </c>
      <c r="D391">
        <v>203</v>
      </c>
      <c r="F391">
        <v>119</v>
      </c>
      <c r="G391">
        <v>15.2</v>
      </c>
      <c r="H391">
        <f t="shared" si="43"/>
        <v>1050</v>
      </c>
      <c r="I391">
        <v>1.1369979000000001E-2</v>
      </c>
      <c r="J391">
        <v>292</v>
      </c>
      <c r="K391">
        <f t="shared" si="44"/>
        <v>0.28896029345501822</v>
      </c>
      <c r="L391">
        <f t="shared" si="45"/>
        <v>361.05588667204529</v>
      </c>
    </row>
    <row r="392" spans="1:12" x14ac:dyDescent="0.6">
      <c r="A392">
        <v>391</v>
      </c>
      <c r="B392" t="s">
        <v>16</v>
      </c>
      <c r="C392" t="s">
        <v>7</v>
      </c>
      <c r="D392">
        <v>203</v>
      </c>
      <c r="F392">
        <v>114</v>
      </c>
      <c r="G392">
        <v>36.384999999999998</v>
      </c>
      <c r="H392">
        <f t="shared" si="43"/>
        <v>1040</v>
      </c>
      <c r="I392">
        <v>1.5192402000000001E-2</v>
      </c>
      <c r="J392">
        <v>254</v>
      </c>
      <c r="K392">
        <f t="shared" si="44"/>
        <v>0.43015215685646474</v>
      </c>
      <c r="L392">
        <f t="shared" si="45"/>
        <v>509.98839716902461</v>
      </c>
    </row>
    <row r="393" spans="1:12" x14ac:dyDescent="0.6">
      <c r="A393">
        <v>392</v>
      </c>
      <c r="B393" t="s">
        <v>16</v>
      </c>
      <c r="C393" t="s">
        <v>7</v>
      </c>
      <c r="D393">
        <v>203</v>
      </c>
      <c r="F393">
        <v>119</v>
      </c>
      <c r="G393">
        <v>27.74</v>
      </c>
      <c r="H393">
        <f t="shared" si="43"/>
        <v>1050</v>
      </c>
      <c r="I393">
        <v>8.4793319999999991E-3</v>
      </c>
      <c r="J393">
        <v>335</v>
      </c>
      <c r="K393">
        <f t="shared" si="44"/>
        <v>0.31989950563197739</v>
      </c>
      <c r="L393">
        <f t="shared" si="45"/>
        <v>399.71443228715577</v>
      </c>
    </row>
    <row r="394" spans="1:12" x14ac:dyDescent="0.6">
      <c r="A394">
        <v>393</v>
      </c>
      <c r="B394" t="s">
        <v>16</v>
      </c>
      <c r="C394" t="s">
        <v>7</v>
      </c>
      <c r="D394">
        <v>203</v>
      </c>
      <c r="F394">
        <v>117</v>
      </c>
      <c r="G394">
        <v>30.59</v>
      </c>
      <c r="H394">
        <f t="shared" si="43"/>
        <v>1046</v>
      </c>
      <c r="I394">
        <v>8.4074739999999999E-3</v>
      </c>
      <c r="J394">
        <v>531</v>
      </c>
      <c r="K394">
        <f t="shared" si="44"/>
        <v>0.33131348533454269</v>
      </c>
      <c r="L394">
        <f t="shared" si="45"/>
        <v>405.46806962212008</v>
      </c>
    </row>
    <row r="395" spans="1:12" x14ac:dyDescent="0.6">
      <c r="A395">
        <v>394</v>
      </c>
      <c r="B395" t="s">
        <v>16</v>
      </c>
      <c r="C395" t="s">
        <v>7</v>
      </c>
      <c r="D395">
        <v>203</v>
      </c>
      <c r="F395">
        <v>114</v>
      </c>
      <c r="G395">
        <v>31.16</v>
      </c>
      <c r="H395">
        <f t="shared" si="43"/>
        <v>1040</v>
      </c>
      <c r="I395">
        <v>1.6398047999999998E-2</v>
      </c>
      <c r="J395">
        <v>377</v>
      </c>
      <c r="K395">
        <f t="shared" si="44"/>
        <v>0.41913078628642669</v>
      </c>
      <c r="L395">
        <f t="shared" si="45"/>
        <v>496.92146022118754</v>
      </c>
    </row>
    <row r="396" spans="1:12" x14ac:dyDescent="0.6">
      <c r="A396">
        <v>395</v>
      </c>
      <c r="B396" t="s">
        <v>16</v>
      </c>
      <c r="C396" t="s">
        <v>7</v>
      </c>
      <c r="D396">
        <v>203</v>
      </c>
      <c r="F396">
        <v>117</v>
      </c>
      <c r="G396">
        <v>27.835000000000001</v>
      </c>
      <c r="H396">
        <f t="shared" si="43"/>
        <v>1046</v>
      </c>
      <c r="I396">
        <v>1.6263638E-2</v>
      </c>
      <c r="J396">
        <v>394</v>
      </c>
      <c r="K396">
        <f t="shared" si="44"/>
        <v>0.39927783782541182</v>
      </c>
      <c r="L396">
        <f t="shared" si="45"/>
        <v>488.64420348749553</v>
      </c>
    </row>
    <row r="397" spans="1:12" x14ac:dyDescent="0.6">
      <c r="A397">
        <v>396</v>
      </c>
      <c r="B397" s="2" t="s">
        <v>84</v>
      </c>
      <c r="C397" t="s">
        <v>7</v>
      </c>
      <c r="D397">
        <v>100</v>
      </c>
      <c r="F397">
        <v>107</v>
      </c>
      <c r="G397">
        <v>24.323895</v>
      </c>
      <c r="H397">
        <f t="shared" si="43"/>
        <v>614</v>
      </c>
      <c r="I397">
        <v>1.0645457000000001E-2</v>
      </c>
      <c r="J397">
        <v>216</v>
      </c>
      <c r="K397">
        <f t="shared" si="44"/>
        <v>0.34199369506913724</v>
      </c>
      <c r="L397">
        <f t="shared" si="45"/>
        <v>224.68301778652182</v>
      </c>
    </row>
    <row r="398" spans="1:12" x14ac:dyDescent="0.6">
      <c r="A398">
        <v>397</v>
      </c>
      <c r="B398" s="2" t="s">
        <v>84</v>
      </c>
      <c r="C398" t="s">
        <v>7</v>
      </c>
      <c r="D398">
        <v>250</v>
      </c>
      <c r="F398">
        <v>107</v>
      </c>
      <c r="G398">
        <v>32.152275000000003</v>
      </c>
      <c r="H398">
        <f t="shared" si="43"/>
        <v>1214</v>
      </c>
      <c r="I398">
        <v>1.0988859E-2</v>
      </c>
      <c r="J398">
        <v>257</v>
      </c>
      <c r="K398">
        <f t="shared" si="44"/>
        <v>0.37892841170292646</v>
      </c>
      <c r="L398">
        <f t="shared" si="45"/>
        <v>492.22042823386744</v>
      </c>
    </row>
    <row r="399" spans="1:12" x14ac:dyDescent="0.6">
      <c r="A399">
        <v>398</v>
      </c>
      <c r="B399" s="2" t="s">
        <v>84</v>
      </c>
      <c r="C399" t="s">
        <v>7</v>
      </c>
      <c r="D399">
        <v>450</v>
      </c>
      <c r="F399">
        <v>107</v>
      </c>
      <c r="G399">
        <v>28.238085000000002</v>
      </c>
      <c r="H399">
        <f t="shared" si="43"/>
        <v>2014</v>
      </c>
      <c r="I399">
        <v>2.2710307999999998E-2</v>
      </c>
      <c r="J399">
        <v>301</v>
      </c>
      <c r="K399">
        <f t="shared" si="44"/>
        <v>0.46130926297182517</v>
      </c>
      <c r="L399">
        <f t="shared" si="45"/>
        <v>994.11223551902378</v>
      </c>
    </row>
    <row r="400" spans="1:12" x14ac:dyDescent="0.6">
      <c r="A400">
        <v>399</v>
      </c>
      <c r="B400" s="2" t="s">
        <v>84</v>
      </c>
      <c r="C400" t="s">
        <v>7</v>
      </c>
      <c r="D400">
        <v>100</v>
      </c>
      <c r="F400">
        <v>107</v>
      </c>
      <c r="G400">
        <v>23.019165000000001</v>
      </c>
      <c r="H400">
        <f t="shared" si="43"/>
        <v>614</v>
      </c>
      <c r="I400">
        <v>2.2901151000000002E-2</v>
      </c>
      <c r="J400">
        <v>196</v>
      </c>
      <c r="K400">
        <f t="shared" si="44"/>
        <v>0.4324196458892543</v>
      </c>
      <c r="L400">
        <f t="shared" si="45"/>
        <v>284.09105895632229</v>
      </c>
    </row>
    <row r="401" spans="1:12" x14ac:dyDescent="0.6">
      <c r="A401">
        <v>400</v>
      </c>
      <c r="B401" s="2" t="s">
        <v>84</v>
      </c>
      <c r="C401" t="s">
        <v>7</v>
      </c>
      <c r="D401">
        <v>250</v>
      </c>
      <c r="F401">
        <v>107</v>
      </c>
      <c r="G401">
        <v>31.406714999999998</v>
      </c>
      <c r="H401">
        <f t="shared" si="43"/>
        <v>1214</v>
      </c>
      <c r="I401">
        <v>5.3771380000000001E-3</v>
      </c>
      <c r="J401">
        <v>283</v>
      </c>
      <c r="K401">
        <f t="shared" si="44"/>
        <v>0.297003978768139</v>
      </c>
      <c r="L401">
        <f t="shared" si="45"/>
        <v>385.80222834023721</v>
      </c>
    </row>
    <row r="402" spans="1:12" x14ac:dyDescent="0.6">
      <c r="A402">
        <v>401</v>
      </c>
      <c r="B402" s="2" t="s">
        <v>84</v>
      </c>
      <c r="C402" t="s">
        <v>7</v>
      </c>
      <c r="D402">
        <v>450</v>
      </c>
      <c r="F402">
        <v>107</v>
      </c>
      <c r="G402">
        <v>30.288374999999998</v>
      </c>
      <c r="H402">
        <f t="shared" si="43"/>
        <v>2014</v>
      </c>
      <c r="I402">
        <v>5.2911030000000001E-3</v>
      </c>
      <c r="J402">
        <v>397</v>
      </c>
      <c r="K402">
        <f t="shared" si="44"/>
        <v>0.29191356055813095</v>
      </c>
      <c r="L402">
        <f t="shared" si="45"/>
        <v>629.06788473156109</v>
      </c>
    </row>
    <row r="403" spans="1:12" x14ac:dyDescent="0.6">
      <c r="A403">
        <v>402</v>
      </c>
      <c r="B403" s="2" t="s">
        <v>84</v>
      </c>
      <c r="C403" t="s">
        <v>7</v>
      </c>
      <c r="D403">
        <v>100</v>
      </c>
      <c r="F403">
        <v>107</v>
      </c>
      <c r="G403">
        <v>37.743974999999999</v>
      </c>
      <c r="H403">
        <f t="shared" si="43"/>
        <v>614</v>
      </c>
      <c r="I403">
        <v>1.1087974E-2</v>
      </c>
      <c r="J403">
        <v>184</v>
      </c>
      <c r="K403">
        <f t="shared" si="44"/>
        <v>0.40070419869347151</v>
      </c>
      <c r="L403">
        <f t="shared" si="45"/>
        <v>263.25464445763691</v>
      </c>
    </row>
    <row r="404" spans="1:12" x14ac:dyDescent="0.6">
      <c r="A404">
        <v>403</v>
      </c>
      <c r="B404" s="2" t="s">
        <v>84</v>
      </c>
      <c r="C404" t="s">
        <v>7</v>
      </c>
      <c r="D404">
        <v>100</v>
      </c>
      <c r="F404">
        <v>107</v>
      </c>
      <c r="G404">
        <v>34.016174999999997</v>
      </c>
      <c r="H404">
        <f t="shared" si="43"/>
        <v>614</v>
      </c>
      <c r="I404">
        <v>1.0906203999999999E-2</v>
      </c>
      <c r="J404">
        <v>211</v>
      </c>
      <c r="K404">
        <f t="shared" si="44"/>
        <v>0.38508043050089508</v>
      </c>
      <c r="L404">
        <f t="shared" si="45"/>
        <v>252.99014123047809</v>
      </c>
    </row>
    <row r="405" spans="1:12" x14ac:dyDescent="0.6">
      <c r="A405">
        <v>404</v>
      </c>
      <c r="B405" s="2" t="s">
        <v>84</v>
      </c>
      <c r="C405" t="s">
        <v>7</v>
      </c>
      <c r="D405">
        <v>100</v>
      </c>
      <c r="F405">
        <v>107</v>
      </c>
      <c r="G405">
        <v>37.277999999999999</v>
      </c>
      <c r="H405">
        <f t="shared" si="43"/>
        <v>614</v>
      </c>
      <c r="I405">
        <v>1.06E-2</v>
      </c>
      <c r="J405">
        <v>165</v>
      </c>
      <c r="K405">
        <f t="shared" si="44"/>
        <v>0.39318165146813899</v>
      </c>
      <c r="L405">
        <f t="shared" si="45"/>
        <v>258.31248138153796</v>
      </c>
    </row>
    <row r="406" spans="1:12" x14ac:dyDescent="0.6">
      <c r="A406">
        <v>405</v>
      </c>
      <c r="B406" s="2" t="s">
        <v>84</v>
      </c>
      <c r="C406" t="s">
        <v>7</v>
      </c>
      <c r="D406">
        <v>100</v>
      </c>
      <c r="F406">
        <v>107</v>
      </c>
      <c r="G406">
        <v>25.069455000000001</v>
      </c>
      <c r="H406">
        <f t="shared" si="43"/>
        <v>614</v>
      </c>
      <c r="I406">
        <v>1.06E-2</v>
      </c>
      <c r="J406">
        <v>175</v>
      </c>
      <c r="K406">
        <f t="shared" si="44"/>
        <v>0.34493057927071402</v>
      </c>
      <c r="L406">
        <f t="shared" si="45"/>
        <v>226.61249196927372</v>
      </c>
    </row>
    <row r="407" spans="1:12" x14ac:dyDescent="0.6">
      <c r="A407">
        <v>406</v>
      </c>
      <c r="B407" s="2" t="s">
        <v>84</v>
      </c>
      <c r="C407" t="s">
        <v>7</v>
      </c>
      <c r="D407">
        <v>250</v>
      </c>
      <c r="F407">
        <v>107</v>
      </c>
      <c r="G407">
        <v>29.729205</v>
      </c>
      <c r="H407">
        <f t="shared" si="43"/>
        <v>1214</v>
      </c>
      <c r="I407">
        <v>1.06E-2</v>
      </c>
      <c r="J407">
        <v>246</v>
      </c>
      <c r="K407">
        <f t="shared" si="44"/>
        <v>0.36489202428060286</v>
      </c>
      <c r="L407">
        <f t="shared" si="45"/>
        <v>473.98744170001754</v>
      </c>
    </row>
    <row r="408" spans="1:12" x14ac:dyDescent="0.6">
      <c r="A408">
        <v>407</v>
      </c>
      <c r="B408" s="2" t="s">
        <v>84</v>
      </c>
      <c r="C408" t="s">
        <v>7</v>
      </c>
      <c r="D408">
        <v>450</v>
      </c>
      <c r="F408">
        <v>107</v>
      </c>
      <c r="G408">
        <v>32.525055000000002</v>
      </c>
      <c r="H408">
        <f t="shared" si="43"/>
        <v>2014</v>
      </c>
      <c r="I408">
        <v>1.06E-2</v>
      </c>
      <c r="J408">
        <v>294</v>
      </c>
      <c r="K408">
        <f t="shared" si="44"/>
        <v>0.37587707296698725</v>
      </c>
      <c r="L408">
        <f t="shared" si="45"/>
        <v>810.00757470239807</v>
      </c>
    </row>
    <row r="409" spans="1:12" x14ac:dyDescent="0.6">
      <c r="A409">
        <v>408</v>
      </c>
      <c r="B409" s="2" t="s">
        <v>85</v>
      </c>
      <c r="C409" t="s">
        <v>10</v>
      </c>
      <c r="D409">
        <v>221</v>
      </c>
      <c r="F409">
        <v>82</v>
      </c>
      <c r="G409">
        <v>15.265000000000001</v>
      </c>
      <c r="H409">
        <f t="shared" ref="H409:H410" si="46">PI()*(D409+F409)</f>
        <v>951.90257403770727</v>
      </c>
      <c r="I409">
        <v>6.8999999999999999E-3</v>
      </c>
      <c r="J409">
        <v>152</v>
      </c>
      <c r="K409">
        <f t="shared" si="44"/>
        <v>0.27748605956717742</v>
      </c>
      <c r="L409">
        <f t="shared" si="45"/>
        <v>216.59454937649295</v>
      </c>
    </row>
    <row r="410" spans="1:12" x14ac:dyDescent="0.6">
      <c r="A410">
        <v>409</v>
      </c>
      <c r="B410" s="2" t="s">
        <v>85</v>
      </c>
      <c r="C410" t="s">
        <v>10</v>
      </c>
      <c r="D410">
        <v>333</v>
      </c>
      <c r="F410">
        <v>82</v>
      </c>
      <c r="G410">
        <v>16.614000000000001</v>
      </c>
      <c r="H410">
        <f t="shared" si="46"/>
        <v>1303.7609512397642</v>
      </c>
      <c r="I410">
        <v>6.8999999999999999E-3</v>
      </c>
      <c r="J410">
        <v>218</v>
      </c>
      <c r="K410">
        <f t="shared" si="44"/>
        <v>0.28534989097745056</v>
      </c>
      <c r="L410">
        <f t="shared" si="45"/>
        <v>305.06299714347762</v>
      </c>
    </row>
    <row r="411" spans="1:12" x14ac:dyDescent="0.6">
      <c r="A411">
        <v>410</v>
      </c>
      <c r="B411" s="2" t="s">
        <v>85</v>
      </c>
      <c r="C411" t="s">
        <v>7</v>
      </c>
      <c r="D411">
        <v>201</v>
      </c>
      <c r="F411">
        <v>78</v>
      </c>
      <c r="G411">
        <v>9.7270000000000003</v>
      </c>
      <c r="H411">
        <f>4*D411+2*F411</f>
        <v>960</v>
      </c>
      <c r="I411">
        <v>1.5599999999999999E-2</v>
      </c>
      <c r="J411">
        <v>128</v>
      </c>
      <c r="K411">
        <f t="shared" si="44"/>
        <v>0.31822371032586078</v>
      </c>
      <c r="L411">
        <f t="shared" si="45"/>
        <v>238.28591429200452</v>
      </c>
    </row>
    <row r="412" spans="1:12" x14ac:dyDescent="0.6">
      <c r="A412">
        <v>411</v>
      </c>
      <c r="B412" s="2" t="s">
        <v>85</v>
      </c>
      <c r="C412" t="s">
        <v>10</v>
      </c>
      <c r="D412">
        <v>221</v>
      </c>
      <c r="F412">
        <v>82</v>
      </c>
      <c r="G412">
        <v>9.3010000000000002</v>
      </c>
      <c r="H412">
        <f t="shared" ref="H412:H413" si="47">PI()*(D412+F412)</f>
        <v>951.90257403770727</v>
      </c>
      <c r="I412">
        <v>1.5599999999999999E-2</v>
      </c>
      <c r="J412">
        <v>181</v>
      </c>
      <c r="K412">
        <f t="shared" si="44"/>
        <v>0.30842311781832354</v>
      </c>
      <c r="L412">
        <f t="shared" si="45"/>
        <v>240.74278299007773</v>
      </c>
    </row>
    <row r="413" spans="1:12" x14ac:dyDescent="0.6">
      <c r="A413">
        <v>412</v>
      </c>
      <c r="B413" s="2" t="s">
        <v>85</v>
      </c>
      <c r="C413" t="s">
        <v>10</v>
      </c>
      <c r="D413">
        <v>221</v>
      </c>
      <c r="F413">
        <v>82</v>
      </c>
      <c r="G413">
        <v>15.904</v>
      </c>
      <c r="H413">
        <f t="shared" si="47"/>
        <v>951.90257403770727</v>
      </c>
      <c r="I413">
        <v>2.92E-2</v>
      </c>
      <c r="J413">
        <v>245</v>
      </c>
      <c r="K413">
        <f t="shared" si="44"/>
        <v>0.45276668660280328</v>
      </c>
      <c r="L413">
        <f t="shared" si="45"/>
        <v>353.41161502090057</v>
      </c>
    </row>
    <row r="414" spans="1:12" x14ac:dyDescent="0.6">
      <c r="A414">
        <v>413</v>
      </c>
      <c r="B414" s="2" t="s">
        <v>85</v>
      </c>
      <c r="C414" t="s">
        <v>7</v>
      </c>
      <c r="D414">
        <v>201</v>
      </c>
      <c r="F414">
        <v>82</v>
      </c>
      <c r="G414">
        <v>8.7330000000000005</v>
      </c>
      <c r="H414">
        <f t="shared" ref="H414:H415" si="48">4*D414+2*F414</f>
        <v>968</v>
      </c>
      <c r="I414">
        <v>1.3368479000000001E-2</v>
      </c>
      <c r="J414">
        <v>162</v>
      </c>
      <c r="K414">
        <f t="shared" si="44"/>
        <v>0.2870727861008614</v>
      </c>
      <c r="L414">
        <f t="shared" si="45"/>
        <v>227.86689469541972</v>
      </c>
    </row>
    <row r="415" spans="1:12" x14ac:dyDescent="0.6">
      <c r="A415">
        <v>414</v>
      </c>
      <c r="B415" s="2" t="s">
        <v>85</v>
      </c>
      <c r="C415" t="s">
        <v>7</v>
      </c>
      <c r="D415">
        <v>201</v>
      </c>
      <c r="F415">
        <v>82</v>
      </c>
      <c r="G415">
        <v>12.353999999999999</v>
      </c>
      <c r="H415">
        <f t="shared" si="48"/>
        <v>968</v>
      </c>
      <c r="I415">
        <v>1.3368479000000001E-2</v>
      </c>
      <c r="J415">
        <v>215</v>
      </c>
      <c r="K415">
        <f t="shared" si="44"/>
        <v>0.32188785393675895</v>
      </c>
      <c r="L415">
        <f t="shared" si="45"/>
        <v>255.5017029408418</v>
      </c>
    </row>
    <row r="416" spans="1:12" x14ac:dyDescent="0.6">
      <c r="A416">
        <v>415</v>
      </c>
      <c r="B416" s="2" t="s">
        <v>85</v>
      </c>
      <c r="C416" t="s">
        <v>10</v>
      </c>
      <c r="D416">
        <v>201</v>
      </c>
      <c r="F416">
        <v>83</v>
      </c>
      <c r="G416">
        <v>13.276999999999999</v>
      </c>
      <c r="H416">
        <f t="shared" ref="H416:H418" si="49">PI()*(D416+F416)</f>
        <v>892.21231361950129</v>
      </c>
      <c r="I416">
        <v>1.3368479000000001E-2</v>
      </c>
      <c r="J416">
        <v>307</v>
      </c>
      <c r="K416">
        <f t="shared" si="44"/>
        <v>0.32831737623616003</v>
      </c>
      <c r="L416">
        <f t="shared" si="45"/>
        <v>243.13090885811337</v>
      </c>
    </row>
    <row r="417" spans="1:12" x14ac:dyDescent="0.6">
      <c r="A417">
        <v>416</v>
      </c>
      <c r="B417" s="2" t="s">
        <v>85</v>
      </c>
      <c r="C417" t="s">
        <v>10</v>
      </c>
      <c r="D417">
        <v>300</v>
      </c>
      <c r="F417">
        <v>80</v>
      </c>
      <c r="G417">
        <v>15.62</v>
      </c>
      <c r="H417">
        <f t="shared" si="49"/>
        <v>1193.8052083641214</v>
      </c>
      <c r="I417">
        <v>9.8174769999999998E-3</v>
      </c>
      <c r="J417">
        <v>239</v>
      </c>
      <c r="K417">
        <f t="shared" si="44"/>
        <v>0.31667560056072591</v>
      </c>
      <c r="L417">
        <f t="shared" si="45"/>
        <v>302.4391850489846</v>
      </c>
    </row>
    <row r="418" spans="1:12" x14ac:dyDescent="0.6">
      <c r="A418">
        <v>417</v>
      </c>
      <c r="B418" s="2" t="s">
        <v>85</v>
      </c>
      <c r="C418" t="s">
        <v>10</v>
      </c>
      <c r="D418">
        <v>221</v>
      </c>
      <c r="F418">
        <v>82</v>
      </c>
      <c r="G418">
        <v>8.6620000000000008</v>
      </c>
      <c r="H418">
        <f t="shared" si="49"/>
        <v>951.90257403770727</v>
      </c>
      <c r="I418">
        <v>1.1838721999999999E-2</v>
      </c>
      <c r="J418">
        <v>152</v>
      </c>
      <c r="K418">
        <f t="shared" si="44"/>
        <v>0.27504617747118054</v>
      </c>
      <c r="L418">
        <f t="shared" si="45"/>
        <v>214.69007473752001</v>
      </c>
    </row>
    <row r="419" spans="1:12" x14ac:dyDescent="0.6">
      <c r="A419">
        <v>418</v>
      </c>
      <c r="B419" s="2" t="s">
        <v>85</v>
      </c>
      <c r="C419" t="s">
        <v>12</v>
      </c>
      <c r="D419">
        <v>201</v>
      </c>
      <c r="E419">
        <v>402</v>
      </c>
      <c r="F419">
        <v>82</v>
      </c>
      <c r="G419">
        <v>11.999000000000001</v>
      </c>
      <c r="H419">
        <f>2*D419+2*E419+2*F419</f>
        <v>1370</v>
      </c>
      <c r="I419">
        <v>1.1838721999999999E-2</v>
      </c>
      <c r="J419">
        <v>244</v>
      </c>
      <c r="K419">
        <f t="shared" si="44"/>
        <v>0.30627354263349182</v>
      </c>
      <c r="L419">
        <f t="shared" si="45"/>
        <v>344.06769779446472</v>
      </c>
    </row>
    <row r="420" spans="1:12" x14ac:dyDescent="0.6">
      <c r="A420">
        <v>419</v>
      </c>
      <c r="B420" s="2" t="s">
        <v>85</v>
      </c>
      <c r="C420" t="s">
        <v>10</v>
      </c>
      <c r="D420">
        <v>221</v>
      </c>
      <c r="F420">
        <v>82</v>
      </c>
      <c r="G420">
        <v>19.170000000000002</v>
      </c>
      <c r="H420">
        <f t="shared" ref="H420:H423" si="50">PI()*(D420+F420)</f>
        <v>951.90257403770727</v>
      </c>
      <c r="I420">
        <v>1.1838721999999999E-2</v>
      </c>
      <c r="J420">
        <v>240</v>
      </c>
      <c r="K420">
        <f t="shared" si="44"/>
        <v>0.35748424933325729</v>
      </c>
      <c r="L420">
        <f t="shared" si="45"/>
        <v>279.03794523697741</v>
      </c>
    </row>
    <row r="421" spans="1:12" x14ac:dyDescent="0.6">
      <c r="A421">
        <v>420</v>
      </c>
      <c r="B421" s="2" t="s">
        <v>85</v>
      </c>
      <c r="C421" t="s">
        <v>10</v>
      </c>
      <c r="D421">
        <v>221</v>
      </c>
      <c r="F421">
        <v>82</v>
      </c>
      <c r="G421">
        <v>16.045999999999999</v>
      </c>
      <c r="H421">
        <f t="shared" si="50"/>
        <v>951.90257403770727</v>
      </c>
      <c r="I421">
        <v>1.1838721999999999E-2</v>
      </c>
      <c r="J421">
        <v>201</v>
      </c>
      <c r="K421">
        <f t="shared" si="44"/>
        <v>0.3371030286564613</v>
      </c>
      <c r="L421">
        <f t="shared" si="45"/>
        <v>263.12917736907389</v>
      </c>
    </row>
    <row r="422" spans="1:12" x14ac:dyDescent="0.6">
      <c r="A422">
        <v>421</v>
      </c>
      <c r="B422" s="2" t="s">
        <v>85</v>
      </c>
      <c r="C422" t="s">
        <v>10</v>
      </c>
      <c r="D422">
        <v>119</v>
      </c>
      <c r="F422">
        <v>82</v>
      </c>
      <c r="G422">
        <v>8.875</v>
      </c>
      <c r="H422">
        <f t="shared" si="50"/>
        <v>631.46012337154843</v>
      </c>
      <c r="I422">
        <v>1.1838721999999999E-2</v>
      </c>
      <c r="J422">
        <v>117</v>
      </c>
      <c r="K422">
        <f t="shared" si="44"/>
        <v>0.27725997118838547</v>
      </c>
      <c r="L422">
        <f t="shared" si="45"/>
        <v>143.56446480234007</v>
      </c>
    </row>
    <row r="423" spans="1:12" x14ac:dyDescent="0.6">
      <c r="A423">
        <v>422</v>
      </c>
      <c r="B423" s="2" t="s">
        <v>85</v>
      </c>
      <c r="C423" t="s">
        <v>10</v>
      </c>
      <c r="D423">
        <v>119</v>
      </c>
      <c r="F423">
        <v>82</v>
      </c>
      <c r="G423">
        <v>10.366</v>
      </c>
      <c r="H423">
        <f t="shared" si="50"/>
        <v>631.46012337154843</v>
      </c>
      <c r="I423">
        <v>2.552544E-2</v>
      </c>
      <c r="J423">
        <v>98</v>
      </c>
      <c r="K423">
        <f t="shared" si="44"/>
        <v>0.37605718320241421</v>
      </c>
      <c r="L423">
        <f t="shared" si="45"/>
        <v>194.72139454579784</v>
      </c>
    </row>
    <row r="424" spans="1:12" x14ac:dyDescent="0.6">
      <c r="A424">
        <v>423</v>
      </c>
      <c r="B424" s="2" t="s">
        <v>86</v>
      </c>
      <c r="C424" t="s">
        <v>7</v>
      </c>
      <c r="D424">
        <v>51</v>
      </c>
      <c r="F424">
        <v>63.5</v>
      </c>
      <c r="G424">
        <v>21.87</v>
      </c>
      <c r="H424">
        <f t="shared" ref="H424:H442" si="51">4*D424+2*F424</f>
        <v>331</v>
      </c>
      <c r="I424">
        <v>2.552544E-2</v>
      </c>
      <c r="J424">
        <v>64</v>
      </c>
      <c r="K424">
        <f t="shared" si="44"/>
        <v>0.52347450097562831</v>
      </c>
      <c r="L424">
        <f t="shared" si="45"/>
        <v>110.02648798756245</v>
      </c>
    </row>
    <row r="425" spans="1:12" x14ac:dyDescent="0.6">
      <c r="A425">
        <v>424</v>
      </c>
      <c r="B425" s="2" t="s">
        <v>86</v>
      </c>
      <c r="C425" t="s">
        <v>7</v>
      </c>
      <c r="D425">
        <v>76</v>
      </c>
      <c r="F425">
        <v>63.5</v>
      </c>
      <c r="G425">
        <v>20.7225</v>
      </c>
      <c r="H425">
        <f t="shared" si="51"/>
        <v>431</v>
      </c>
      <c r="I425">
        <v>2.552544E-2</v>
      </c>
      <c r="J425">
        <v>83</v>
      </c>
      <c r="K425">
        <f t="shared" si="44"/>
        <v>0.51424649711858694</v>
      </c>
      <c r="L425">
        <f t="shared" si="45"/>
        <v>140.74155256390046</v>
      </c>
    </row>
    <row r="426" spans="1:12" x14ac:dyDescent="0.6">
      <c r="A426">
        <v>425</v>
      </c>
      <c r="B426" s="2" t="s">
        <v>86</v>
      </c>
      <c r="C426" t="s">
        <v>7</v>
      </c>
      <c r="D426">
        <v>102</v>
      </c>
      <c r="F426">
        <v>63.5</v>
      </c>
      <c r="G426">
        <v>19.574999999999999</v>
      </c>
      <c r="H426">
        <f t="shared" si="51"/>
        <v>535</v>
      </c>
      <c r="I426">
        <v>2.552544E-2</v>
      </c>
      <c r="J426">
        <v>78</v>
      </c>
      <c r="K426">
        <f t="shared" si="44"/>
        <v>0.50466945214621239</v>
      </c>
      <c r="L426">
        <f t="shared" si="45"/>
        <v>171.44882963037199</v>
      </c>
    </row>
    <row r="427" spans="1:12" x14ac:dyDescent="0.6">
      <c r="A427">
        <v>426</v>
      </c>
      <c r="B427" s="2" t="s">
        <v>86</v>
      </c>
      <c r="C427" t="s">
        <v>7</v>
      </c>
      <c r="D427">
        <v>127</v>
      </c>
      <c r="F427">
        <v>63.5</v>
      </c>
      <c r="G427">
        <v>18.63</v>
      </c>
      <c r="H427">
        <f t="shared" si="51"/>
        <v>635</v>
      </c>
      <c r="I427">
        <v>3.8059911000000002E-2</v>
      </c>
      <c r="J427">
        <v>88</v>
      </c>
      <c r="K427">
        <f t="shared" si="44"/>
        <v>0.5664595077463711</v>
      </c>
      <c r="L427">
        <f t="shared" si="45"/>
        <v>228.41063501103045</v>
      </c>
    </row>
    <row r="428" spans="1:12" x14ac:dyDescent="0.6">
      <c r="A428">
        <v>427</v>
      </c>
      <c r="B428" s="2" t="s">
        <v>86</v>
      </c>
      <c r="C428" t="s">
        <v>7</v>
      </c>
      <c r="D428">
        <v>152</v>
      </c>
      <c r="F428">
        <v>63.5</v>
      </c>
      <c r="G428">
        <v>15.525</v>
      </c>
      <c r="H428">
        <f t="shared" si="51"/>
        <v>735</v>
      </c>
      <c r="I428">
        <v>3.8059911000000002E-2</v>
      </c>
      <c r="J428">
        <v>88</v>
      </c>
      <c r="K428">
        <f t="shared" si="44"/>
        <v>0.53338286452414596</v>
      </c>
      <c r="L428">
        <f t="shared" si="45"/>
        <v>248.94311744503202</v>
      </c>
    </row>
    <row r="429" spans="1:12" x14ac:dyDescent="0.6">
      <c r="A429">
        <v>428</v>
      </c>
      <c r="B429" s="2" t="s">
        <v>86</v>
      </c>
      <c r="C429" t="s">
        <v>7</v>
      </c>
      <c r="D429">
        <v>51</v>
      </c>
      <c r="F429">
        <v>60.8</v>
      </c>
      <c r="G429">
        <v>19.237500000000001</v>
      </c>
      <c r="H429">
        <f t="shared" si="51"/>
        <v>325.60000000000002</v>
      </c>
      <c r="I429">
        <v>3.8059911000000002E-2</v>
      </c>
      <c r="J429">
        <v>71</v>
      </c>
      <c r="K429">
        <f t="shared" si="44"/>
        <v>0.5807574979429605</v>
      </c>
      <c r="L429">
        <f t="shared" si="45"/>
        <v>114.96954192877858</v>
      </c>
    </row>
    <row r="430" spans="1:12" x14ac:dyDescent="0.6">
      <c r="A430">
        <v>429</v>
      </c>
      <c r="B430" s="2" t="s">
        <v>86</v>
      </c>
      <c r="C430" t="s">
        <v>7</v>
      </c>
      <c r="D430">
        <v>102</v>
      </c>
      <c r="F430">
        <v>60.8</v>
      </c>
      <c r="G430">
        <v>19.102499999999999</v>
      </c>
      <c r="H430">
        <f t="shared" si="51"/>
        <v>529.6</v>
      </c>
      <c r="I430">
        <v>3.8059911000000002E-2</v>
      </c>
      <c r="J430">
        <v>105</v>
      </c>
      <c r="K430">
        <f t="shared" si="44"/>
        <v>0.57940941171006388</v>
      </c>
      <c r="L430">
        <f t="shared" si="45"/>
        <v>186.56797646052308</v>
      </c>
    </row>
    <row r="431" spans="1:12" x14ac:dyDescent="0.6">
      <c r="A431">
        <v>430</v>
      </c>
      <c r="B431" s="2" t="s">
        <v>86</v>
      </c>
      <c r="C431" t="s">
        <v>7</v>
      </c>
      <c r="D431">
        <v>152</v>
      </c>
      <c r="F431">
        <v>60.8</v>
      </c>
      <c r="G431">
        <v>18.225000000000001</v>
      </c>
      <c r="H431">
        <f t="shared" si="51"/>
        <v>729.6</v>
      </c>
      <c r="I431">
        <v>1.1838721999999999E-2</v>
      </c>
      <c r="J431">
        <v>136</v>
      </c>
      <c r="K431">
        <f t="shared" si="44"/>
        <v>0.38804517857348364</v>
      </c>
      <c r="L431">
        <f t="shared" si="45"/>
        <v>172.13559947062589</v>
      </c>
    </row>
    <row r="432" spans="1:12" x14ac:dyDescent="0.6">
      <c r="A432">
        <v>431</v>
      </c>
      <c r="B432" s="1" t="s">
        <v>25</v>
      </c>
      <c r="C432" t="s">
        <v>7</v>
      </c>
      <c r="D432">
        <v>254</v>
      </c>
      <c r="F432">
        <v>114.3</v>
      </c>
      <c r="G432">
        <v>24.757000000000001</v>
      </c>
      <c r="H432">
        <f t="shared" si="51"/>
        <v>1244.5999999999999</v>
      </c>
      <c r="I432">
        <v>2.552544E-2</v>
      </c>
      <c r="J432">
        <v>371</v>
      </c>
      <c r="K432">
        <f t="shared" si="44"/>
        <v>0.44918562770264109</v>
      </c>
      <c r="L432">
        <f t="shared" si="45"/>
        <v>639.00150204884221</v>
      </c>
    </row>
    <row r="433" spans="1:12" x14ac:dyDescent="0.6">
      <c r="A433">
        <v>432</v>
      </c>
      <c r="B433" s="1" t="s">
        <v>25</v>
      </c>
      <c r="C433" t="s">
        <v>7</v>
      </c>
      <c r="D433">
        <v>254</v>
      </c>
      <c r="F433">
        <v>114.3</v>
      </c>
      <c r="G433">
        <v>22.135000000000002</v>
      </c>
      <c r="H433">
        <f t="shared" si="51"/>
        <v>1244.5999999999999</v>
      </c>
      <c r="I433">
        <v>3.8059911000000002E-2</v>
      </c>
      <c r="J433">
        <v>389</v>
      </c>
      <c r="K433">
        <f t="shared" si="44"/>
        <v>0.49389535930101203</v>
      </c>
      <c r="L433">
        <f t="shared" si="45"/>
        <v>702.60457366464323</v>
      </c>
    </row>
    <row r="434" spans="1:12" x14ac:dyDescent="0.6">
      <c r="A434">
        <v>433</v>
      </c>
      <c r="B434" s="1" t="s">
        <v>25</v>
      </c>
      <c r="C434" t="s">
        <v>7</v>
      </c>
      <c r="D434">
        <v>254</v>
      </c>
      <c r="F434">
        <v>114.3</v>
      </c>
      <c r="G434">
        <v>23.256</v>
      </c>
      <c r="H434">
        <f t="shared" si="51"/>
        <v>1244.5999999999999</v>
      </c>
      <c r="I434">
        <v>2.552544E-2</v>
      </c>
      <c r="J434">
        <v>392</v>
      </c>
      <c r="K434">
        <f t="shared" si="44"/>
        <v>0.44000950959555896</v>
      </c>
      <c r="L434">
        <f t="shared" si="45"/>
        <v>625.94776013952901</v>
      </c>
    </row>
    <row r="435" spans="1:12" x14ac:dyDescent="0.6">
      <c r="A435">
        <v>434</v>
      </c>
      <c r="B435" s="1" t="s">
        <v>25</v>
      </c>
      <c r="C435" t="s">
        <v>7</v>
      </c>
      <c r="D435">
        <v>254</v>
      </c>
      <c r="F435">
        <v>114.3</v>
      </c>
      <c r="G435">
        <v>20.957000000000001</v>
      </c>
      <c r="H435">
        <f t="shared" si="51"/>
        <v>1244.5999999999999</v>
      </c>
      <c r="I435">
        <v>2.552544E-2</v>
      </c>
      <c r="J435">
        <v>356</v>
      </c>
      <c r="K435">
        <f t="shared" si="44"/>
        <v>0.42515188984014018</v>
      </c>
      <c r="L435">
        <f t="shared" si="45"/>
        <v>604.81164011462897</v>
      </c>
    </row>
    <row r="436" spans="1:12" x14ac:dyDescent="0.6">
      <c r="A436">
        <v>435</v>
      </c>
      <c r="B436" s="1" t="s">
        <v>25</v>
      </c>
      <c r="C436" t="s">
        <v>7</v>
      </c>
      <c r="D436">
        <v>254</v>
      </c>
      <c r="F436">
        <v>114.3</v>
      </c>
      <c r="G436">
        <v>21.479500000000002</v>
      </c>
      <c r="H436">
        <f t="shared" si="51"/>
        <v>1244.5999999999999</v>
      </c>
      <c r="I436">
        <v>5.4635580000000003E-3</v>
      </c>
      <c r="J436">
        <v>364</v>
      </c>
      <c r="K436">
        <f t="shared" si="44"/>
        <v>0.25771473341415785</v>
      </c>
      <c r="L436">
        <f t="shared" si="45"/>
        <v>366.61925848789912</v>
      </c>
    </row>
    <row r="437" spans="1:12" x14ac:dyDescent="0.6">
      <c r="A437">
        <v>436</v>
      </c>
      <c r="B437" s="1" t="s">
        <v>25</v>
      </c>
      <c r="C437" t="s">
        <v>7</v>
      </c>
      <c r="D437">
        <v>254</v>
      </c>
      <c r="F437">
        <v>114.3</v>
      </c>
      <c r="G437">
        <v>24.101500000000001</v>
      </c>
      <c r="H437">
        <f t="shared" si="51"/>
        <v>1244.5999999999999</v>
      </c>
      <c r="I437">
        <v>4.9628290000000002E-3</v>
      </c>
      <c r="J437">
        <v>378</v>
      </c>
      <c r="K437">
        <f t="shared" si="44"/>
        <v>0.25934002890624763</v>
      </c>
      <c r="L437">
        <f t="shared" si="45"/>
        <v>368.93136777338606</v>
      </c>
    </row>
    <row r="438" spans="1:12" x14ac:dyDescent="0.6">
      <c r="A438">
        <v>437</v>
      </c>
      <c r="B438" s="1" t="s">
        <v>25</v>
      </c>
      <c r="C438" t="s">
        <v>7</v>
      </c>
      <c r="D438">
        <v>254</v>
      </c>
      <c r="F438">
        <v>114.3</v>
      </c>
      <c r="G438">
        <v>22.629000000000001</v>
      </c>
      <c r="H438">
        <f t="shared" si="51"/>
        <v>1244.5999999999999</v>
      </c>
      <c r="I438">
        <v>4.9628290000000002E-3</v>
      </c>
      <c r="J438">
        <v>334</v>
      </c>
      <c r="K438">
        <f t="shared" si="44"/>
        <v>0.25400050529979118</v>
      </c>
      <c r="L438">
        <f t="shared" si="45"/>
        <v>361.33548002826524</v>
      </c>
    </row>
    <row r="439" spans="1:12" x14ac:dyDescent="0.6">
      <c r="A439">
        <v>438</v>
      </c>
      <c r="B439" s="1" t="s">
        <v>25</v>
      </c>
      <c r="C439" t="s">
        <v>7</v>
      </c>
      <c r="D439">
        <v>254</v>
      </c>
      <c r="F439">
        <v>114.3</v>
      </c>
      <c r="G439">
        <v>33.402000000000001</v>
      </c>
      <c r="H439">
        <f t="shared" si="51"/>
        <v>1244.5999999999999</v>
      </c>
      <c r="I439">
        <v>1.0068278999999999E-2</v>
      </c>
      <c r="J439">
        <v>374</v>
      </c>
      <c r="K439">
        <f t="shared" si="44"/>
        <v>0.36477451076891115</v>
      </c>
      <c r="L439">
        <f t="shared" si="45"/>
        <v>518.92012102571391</v>
      </c>
    </row>
    <row r="440" spans="1:12" x14ac:dyDescent="0.6">
      <c r="A440">
        <v>439</v>
      </c>
      <c r="B440" s="1" t="s">
        <v>25</v>
      </c>
      <c r="C440" t="s">
        <v>7</v>
      </c>
      <c r="D440">
        <v>254</v>
      </c>
      <c r="F440">
        <v>114.3</v>
      </c>
      <c r="G440">
        <v>19.456</v>
      </c>
      <c r="H440">
        <f t="shared" si="51"/>
        <v>1244.5999999999999</v>
      </c>
      <c r="I440">
        <v>2.0591485999999999E-2</v>
      </c>
      <c r="J440">
        <v>311</v>
      </c>
      <c r="K440">
        <f t="shared" si="44"/>
        <v>0.38646391544479042</v>
      </c>
      <c r="L440">
        <f t="shared" si="45"/>
        <v>549.77498661283596</v>
      </c>
    </row>
    <row r="441" spans="1:12" x14ac:dyDescent="0.6">
      <c r="A441">
        <v>440</v>
      </c>
      <c r="B441" s="1" t="s">
        <v>25</v>
      </c>
      <c r="C441" t="s">
        <v>7</v>
      </c>
      <c r="D441">
        <v>203</v>
      </c>
      <c r="F441">
        <v>114.3</v>
      </c>
      <c r="G441">
        <v>21.09</v>
      </c>
      <c r="H441">
        <f t="shared" si="51"/>
        <v>1040.5999999999999</v>
      </c>
      <c r="I441">
        <v>3.0783004999999999E-2</v>
      </c>
      <c r="J441">
        <v>343</v>
      </c>
      <c r="K441">
        <f t="shared" si="44"/>
        <v>0.45320244460042719</v>
      </c>
      <c r="L441">
        <f t="shared" si="45"/>
        <v>539.04161618192677</v>
      </c>
    </row>
    <row r="442" spans="1:12" x14ac:dyDescent="0.6">
      <c r="A442">
        <v>441</v>
      </c>
      <c r="B442" s="1" t="s">
        <v>25</v>
      </c>
      <c r="C442" t="s">
        <v>7</v>
      </c>
      <c r="D442">
        <v>203</v>
      </c>
      <c r="F442">
        <v>114.3</v>
      </c>
      <c r="G442">
        <v>21.878499999999999</v>
      </c>
      <c r="H442">
        <f t="shared" si="51"/>
        <v>1040.5999999999999</v>
      </c>
      <c r="I442">
        <v>3.0783004999999999E-2</v>
      </c>
      <c r="J442">
        <v>378</v>
      </c>
      <c r="K442">
        <f t="shared" si="44"/>
        <v>0.45872537225120558</v>
      </c>
      <c r="L442">
        <f t="shared" si="45"/>
        <v>545.61061836274291</v>
      </c>
    </row>
    <row r="443" spans="1:12" x14ac:dyDescent="0.6">
      <c r="A443">
        <v>442</v>
      </c>
      <c r="B443" s="1" t="s">
        <v>25</v>
      </c>
      <c r="C443" t="s">
        <v>12</v>
      </c>
      <c r="D443">
        <v>457</v>
      </c>
      <c r="E443">
        <v>152</v>
      </c>
      <c r="F443">
        <v>114.3</v>
      </c>
      <c r="G443">
        <v>26.201000000000001</v>
      </c>
      <c r="H443">
        <f>2*D443+2*E443+2*F443</f>
        <v>1446.6</v>
      </c>
      <c r="I443">
        <v>6.9985969999999996E-3</v>
      </c>
      <c r="J443">
        <v>394</v>
      </c>
      <c r="K443">
        <f t="shared" si="44"/>
        <v>0.29860897714110296</v>
      </c>
      <c r="L443">
        <f t="shared" si="45"/>
        <v>493.73913405784123</v>
      </c>
    </row>
    <row r="444" spans="1:12" x14ac:dyDescent="0.6">
      <c r="A444">
        <v>443</v>
      </c>
      <c r="B444" s="1" t="s">
        <v>25</v>
      </c>
      <c r="C444" t="s">
        <v>7</v>
      </c>
      <c r="D444">
        <v>152</v>
      </c>
      <c r="F444">
        <v>114.3</v>
      </c>
      <c r="G444">
        <v>25.213000000000001</v>
      </c>
      <c r="H444">
        <f t="shared" ref="H444:H445" si="52">4*D444+2*F444</f>
        <v>836.6</v>
      </c>
      <c r="I444">
        <v>6.368093E-3</v>
      </c>
      <c r="J444">
        <v>311</v>
      </c>
      <c r="K444">
        <f t="shared" si="44"/>
        <v>0.28580086059677745</v>
      </c>
      <c r="L444">
        <f t="shared" si="45"/>
        <v>273.29244297172676</v>
      </c>
    </row>
    <row r="445" spans="1:12" x14ac:dyDescent="0.6">
      <c r="A445">
        <v>444</v>
      </c>
      <c r="B445" s="1" t="s">
        <v>25</v>
      </c>
      <c r="C445" t="s">
        <v>7</v>
      </c>
      <c r="D445">
        <v>305</v>
      </c>
      <c r="F445">
        <v>114.3</v>
      </c>
      <c r="G445">
        <v>19.779</v>
      </c>
      <c r="H445">
        <f t="shared" si="52"/>
        <v>1448.6</v>
      </c>
      <c r="I445">
        <v>6.6684750000000001E-3</v>
      </c>
      <c r="J445">
        <v>433</v>
      </c>
      <c r="K445">
        <f t="shared" si="44"/>
        <v>0.2678431360685215</v>
      </c>
      <c r="L445">
        <f t="shared" si="45"/>
        <v>443.48121897682722</v>
      </c>
    </row>
    <row r="446" spans="1:12" x14ac:dyDescent="0.6">
      <c r="A446">
        <v>445</v>
      </c>
      <c r="B446" s="2" t="s">
        <v>87</v>
      </c>
      <c r="C446" t="s">
        <v>10</v>
      </c>
      <c r="D446">
        <v>150</v>
      </c>
      <c r="F446">
        <v>117</v>
      </c>
      <c r="G446">
        <v>26.175000000000001</v>
      </c>
      <c r="H446">
        <f t="shared" ref="H446:H468" si="53">PI()*(D446+F446)</f>
        <v>838.80523850847476</v>
      </c>
      <c r="I446">
        <v>6.4259850000000004E-3</v>
      </c>
      <c r="J446">
        <v>255</v>
      </c>
      <c r="K446">
        <f t="shared" si="44"/>
        <v>0.28799236294246566</v>
      </c>
      <c r="L446">
        <f t="shared" si="45"/>
        <v>282.63631814329176</v>
      </c>
    </row>
    <row r="447" spans="1:12" x14ac:dyDescent="0.6">
      <c r="A447">
        <v>446</v>
      </c>
      <c r="B447" s="2" t="s">
        <v>87</v>
      </c>
      <c r="C447" t="s">
        <v>10</v>
      </c>
      <c r="D447">
        <v>150</v>
      </c>
      <c r="F447">
        <v>118</v>
      </c>
      <c r="G447">
        <v>24.15</v>
      </c>
      <c r="H447">
        <f t="shared" si="53"/>
        <v>841.94683116206454</v>
      </c>
      <c r="I447">
        <v>6.368093E-3</v>
      </c>
      <c r="J447">
        <v>275</v>
      </c>
      <c r="K447">
        <f t="shared" si="44"/>
        <v>0.27882023412088136</v>
      </c>
      <c r="L447">
        <f t="shared" si="45"/>
        <v>277.0071388466904</v>
      </c>
    </row>
    <row r="448" spans="1:12" x14ac:dyDescent="0.6">
      <c r="A448">
        <v>447</v>
      </c>
      <c r="B448" s="2" t="s">
        <v>87</v>
      </c>
      <c r="C448" t="s">
        <v>10</v>
      </c>
      <c r="D448">
        <v>150</v>
      </c>
      <c r="F448">
        <v>121</v>
      </c>
      <c r="G448">
        <v>29.475000000000001</v>
      </c>
      <c r="H448">
        <f t="shared" si="53"/>
        <v>851.37160912283389</v>
      </c>
      <c r="I448">
        <v>6.606153E-3</v>
      </c>
      <c r="J448">
        <v>334</v>
      </c>
      <c r="K448">
        <f t="shared" si="44"/>
        <v>0.29891191561788083</v>
      </c>
      <c r="L448">
        <f t="shared" si="45"/>
        <v>307.92699348855655</v>
      </c>
    </row>
    <row r="449" spans="1:12" x14ac:dyDescent="0.6">
      <c r="A449">
        <v>448</v>
      </c>
      <c r="B449" s="2" t="s">
        <v>87</v>
      </c>
      <c r="C449" t="s">
        <v>10</v>
      </c>
      <c r="D449">
        <v>150</v>
      </c>
      <c r="F449">
        <v>122</v>
      </c>
      <c r="G449">
        <v>27</v>
      </c>
      <c r="H449">
        <f t="shared" si="53"/>
        <v>854.51320177642378</v>
      </c>
      <c r="I449">
        <v>6.6684750000000001E-3</v>
      </c>
      <c r="J449">
        <v>332</v>
      </c>
      <c r="K449">
        <f t="shared" si="44"/>
        <v>0.29049565861424448</v>
      </c>
      <c r="L449">
        <f t="shared" si="45"/>
        <v>302.84349792042298</v>
      </c>
    </row>
    <row r="450" spans="1:12" x14ac:dyDescent="0.6">
      <c r="A450">
        <v>449</v>
      </c>
      <c r="B450" s="2" t="s">
        <v>87</v>
      </c>
      <c r="C450" t="s">
        <v>10</v>
      </c>
      <c r="D450">
        <v>300</v>
      </c>
      <c r="F450">
        <v>128</v>
      </c>
      <c r="G450">
        <v>24.3</v>
      </c>
      <c r="H450">
        <f t="shared" si="53"/>
        <v>1344.6016557364314</v>
      </c>
      <c r="I450">
        <v>7.2435900000000003E-3</v>
      </c>
      <c r="J450">
        <v>430</v>
      </c>
      <c r="K450">
        <f t="shared" si="44"/>
        <v>0.28380180190989091</v>
      </c>
      <c r="L450">
        <f t="shared" si="45"/>
        <v>488.4484771187482</v>
      </c>
    </row>
    <row r="451" spans="1:12" x14ac:dyDescent="0.6">
      <c r="A451">
        <v>450</v>
      </c>
      <c r="B451" s="2" t="s">
        <v>87</v>
      </c>
      <c r="C451" t="s">
        <v>10</v>
      </c>
      <c r="D451">
        <v>300</v>
      </c>
      <c r="F451">
        <v>124</v>
      </c>
      <c r="G451">
        <v>23.1</v>
      </c>
      <c r="H451">
        <f t="shared" si="53"/>
        <v>1332.0352851220723</v>
      </c>
      <c r="I451">
        <v>7.2435900000000003E-3</v>
      </c>
      <c r="J451">
        <v>408</v>
      </c>
      <c r="K451">
        <f t="shared" ref="K451:K514" si="54">(I451*G451*16/F451)^0.33</f>
        <v>0.28203770073270318</v>
      </c>
      <c r="L451">
        <f t="shared" ref="L451:L514" si="55">K451*H451*F451/100</f>
        <v>465.84836969721835</v>
      </c>
    </row>
    <row r="452" spans="1:12" x14ac:dyDescent="0.6">
      <c r="A452">
        <v>451</v>
      </c>
      <c r="B452" s="2" t="s">
        <v>87</v>
      </c>
      <c r="C452" t="s">
        <v>10</v>
      </c>
      <c r="D452">
        <v>300</v>
      </c>
      <c r="F452">
        <v>120</v>
      </c>
      <c r="G452">
        <v>27.675000000000001</v>
      </c>
      <c r="H452">
        <f t="shared" si="53"/>
        <v>1319.4689145077132</v>
      </c>
      <c r="I452">
        <v>7.2435900000000003E-3</v>
      </c>
      <c r="J452">
        <v>491</v>
      </c>
      <c r="K452">
        <f t="shared" si="54"/>
        <v>0.30262407486749515</v>
      </c>
      <c r="L452">
        <f t="shared" si="55"/>
        <v>479.16367148317772</v>
      </c>
    </row>
    <row r="453" spans="1:12" x14ac:dyDescent="0.6">
      <c r="A453">
        <v>452</v>
      </c>
      <c r="B453" s="2" t="s">
        <v>87</v>
      </c>
      <c r="C453" t="s">
        <v>10</v>
      </c>
      <c r="D453">
        <v>300</v>
      </c>
      <c r="F453">
        <v>119</v>
      </c>
      <c r="G453">
        <v>27.675000000000001</v>
      </c>
      <c r="H453">
        <f t="shared" si="53"/>
        <v>1316.3273218541233</v>
      </c>
      <c r="I453">
        <v>7.2435900000000003E-3</v>
      </c>
      <c r="J453">
        <v>540</v>
      </c>
      <c r="K453">
        <f t="shared" si="54"/>
        <v>0.30346093299578536</v>
      </c>
      <c r="L453">
        <f t="shared" si="55"/>
        <v>475.35016148905788</v>
      </c>
    </row>
    <row r="454" spans="1:12" x14ac:dyDescent="0.6">
      <c r="A454">
        <v>453</v>
      </c>
      <c r="B454" s="2" t="s">
        <v>87</v>
      </c>
      <c r="C454" t="s">
        <v>10</v>
      </c>
      <c r="D454">
        <v>300</v>
      </c>
      <c r="F454">
        <v>123</v>
      </c>
      <c r="G454">
        <v>24.225000000000001</v>
      </c>
      <c r="H454">
        <f t="shared" si="53"/>
        <v>1328.8936924684824</v>
      </c>
      <c r="I454">
        <v>7.2435900000000003E-3</v>
      </c>
      <c r="J454">
        <v>258</v>
      </c>
      <c r="K454">
        <f t="shared" si="54"/>
        <v>0.28726501020254963</v>
      </c>
      <c r="L454">
        <f t="shared" si="55"/>
        <v>469.54593195382682</v>
      </c>
    </row>
    <row r="455" spans="1:12" x14ac:dyDescent="0.6">
      <c r="A455">
        <v>454</v>
      </c>
      <c r="B455" s="2" t="s">
        <v>87</v>
      </c>
      <c r="C455" t="s">
        <v>10</v>
      </c>
      <c r="D455">
        <v>300</v>
      </c>
      <c r="F455">
        <v>125</v>
      </c>
      <c r="G455">
        <v>24.524999999999999</v>
      </c>
      <c r="H455">
        <f t="shared" si="53"/>
        <v>1335.176877775662</v>
      </c>
      <c r="I455">
        <v>7.2435900000000003E-3</v>
      </c>
      <c r="J455">
        <v>258</v>
      </c>
      <c r="K455">
        <f t="shared" si="54"/>
        <v>0.28690296682277111</v>
      </c>
      <c r="L455">
        <f t="shared" si="55"/>
        <v>478.83275933375234</v>
      </c>
    </row>
    <row r="456" spans="1:12" x14ac:dyDescent="0.6">
      <c r="A456">
        <v>455</v>
      </c>
      <c r="B456" s="2" t="s">
        <v>87</v>
      </c>
      <c r="C456" t="s">
        <v>10</v>
      </c>
      <c r="D456">
        <v>300</v>
      </c>
      <c r="F456">
        <v>120</v>
      </c>
      <c r="G456">
        <v>25.2</v>
      </c>
      <c r="H456">
        <f t="shared" si="53"/>
        <v>1319.4689145077132</v>
      </c>
      <c r="I456">
        <v>7.2435900000000003E-3</v>
      </c>
      <c r="J456">
        <v>332</v>
      </c>
      <c r="K456">
        <f t="shared" si="54"/>
        <v>0.29341123238063349</v>
      </c>
      <c r="L456">
        <f t="shared" si="55"/>
        <v>464.57640035237381</v>
      </c>
    </row>
    <row r="457" spans="1:12" x14ac:dyDescent="0.6">
      <c r="A457">
        <v>456</v>
      </c>
      <c r="B457" s="2" t="s">
        <v>87</v>
      </c>
      <c r="C457" t="s">
        <v>10</v>
      </c>
      <c r="D457">
        <v>300</v>
      </c>
      <c r="F457">
        <v>122</v>
      </c>
      <c r="G457">
        <v>23.024999999999999</v>
      </c>
      <c r="H457">
        <f t="shared" si="53"/>
        <v>1325.7520998148927</v>
      </c>
      <c r="I457">
        <v>7.2435900000000003E-3</v>
      </c>
      <c r="J457">
        <v>332</v>
      </c>
      <c r="K457">
        <f t="shared" si="54"/>
        <v>0.28325103467049023</v>
      </c>
      <c r="L457">
        <f t="shared" si="55"/>
        <v>458.13519786675499</v>
      </c>
    </row>
    <row r="458" spans="1:12" x14ac:dyDescent="0.6">
      <c r="A458">
        <v>457</v>
      </c>
      <c r="B458" t="s">
        <v>16</v>
      </c>
      <c r="C458" t="s">
        <v>10</v>
      </c>
      <c r="D458">
        <v>100</v>
      </c>
      <c r="F458">
        <v>60</v>
      </c>
      <c r="G458">
        <v>24.75</v>
      </c>
      <c r="H458">
        <f t="shared" si="53"/>
        <v>502.6548245743669</v>
      </c>
      <c r="I458">
        <v>7.2435900000000003E-3</v>
      </c>
      <c r="J458">
        <v>94</v>
      </c>
      <c r="K458">
        <f t="shared" si="54"/>
        <v>0.36663529642395193</v>
      </c>
      <c r="L458">
        <f t="shared" si="55"/>
        <v>110.57460036405153</v>
      </c>
    </row>
    <row r="459" spans="1:12" x14ac:dyDescent="0.6">
      <c r="A459">
        <v>458</v>
      </c>
      <c r="B459" t="s">
        <v>16</v>
      </c>
      <c r="C459" t="s">
        <v>10</v>
      </c>
      <c r="D459">
        <v>100</v>
      </c>
      <c r="F459">
        <v>60</v>
      </c>
      <c r="G459">
        <v>26.774999999999999</v>
      </c>
      <c r="H459">
        <f t="shared" si="53"/>
        <v>502.6548245743669</v>
      </c>
      <c r="I459">
        <v>7.2435900000000003E-3</v>
      </c>
      <c r="J459">
        <v>104</v>
      </c>
      <c r="K459">
        <f t="shared" si="54"/>
        <v>0.37627484355533819</v>
      </c>
      <c r="L459">
        <f t="shared" si="55"/>
        <v>113.48181928743352</v>
      </c>
    </row>
    <row r="460" spans="1:12" x14ac:dyDescent="0.6">
      <c r="A460">
        <v>459</v>
      </c>
      <c r="B460" t="s">
        <v>16</v>
      </c>
      <c r="C460" t="s">
        <v>10</v>
      </c>
      <c r="D460">
        <v>100</v>
      </c>
      <c r="F460">
        <v>60</v>
      </c>
      <c r="G460">
        <v>24.6</v>
      </c>
      <c r="H460">
        <f t="shared" si="53"/>
        <v>502.6548245743669</v>
      </c>
      <c r="I460">
        <v>7.2435900000000003E-3</v>
      </c>
      <c r="J460">
        <v>98</v>
      </c>
      <c r="K460">
        <f t="shared" si="54"/>
        <v>0.36590053202649719</v>
      </c>
      <c r="L460">
        <f t="shared" si="55"/>
        <v>110.35300064246786</v>
      </c>
    </row>
    <row r="461" spans="1:12" x14ac:dyDescent="0.6">
      <c r="A461">
        <v>460</v>
      </c>
      <c r="B461" t="s">
        <v>16</v>
      </c>
      <c r="C461" t="s">
        <v>10</v>
      </c>
      <c r="D461">
        <v>100</v>
      </c>
      <c r="F461">
        <v>60</v>
      </c>
      <c r="G461">
        <v>25.574999999999999</v>
      </c>
      <c r="H461">
        <f t="shared" si="53"/>
        <v>502.6548245743669</v>
      </c>
      <c r="I461">
        <v>7.2435900000000003E-3</v>
      </c>
      <c r="J461">
        <v>104</v>
      </c>
      <c r="K461">
        <f t="shared" si="54"/>
        <v>0.37062406714934942</v>
      </c>
      <c r="L461">
        <f t="shared" si="55"/>
        <v>111.77758527359676</v>
      </c>
    </row>
    <row r="462" spans="1:12" x14ac:dyDescent="0.6">
      <c r="A462">
        <v>461</v>
      </c>
      <c r="B462" t="s">
        <v>16</v>
      </c>
      <c r="C462" t="s">
        <v>10</v>
      </c>
      <c r="D462">
        <v>100</v>
      </c>
      <c r="F462">
        <v>60</v>
      </c>
      <c r="G462">
        <v>27.975000000000001</v>
      </c>
      <c r="H462">
        <f t="shared" si="53"/>
        <v>502.6548245743669</v>
      </c>
      <c r="I462">
        <v>7.2435900000000003E-3</v>
      </c>
      <c r="J462">
        <v>82</v>
      </c>
      <c r="K462">
        <f t="shared" si="54"/>
        <v>0.38175838701084119</v>
      </c>
      <c r="L462">
        <f t="shared" si="55"/>
        <v>115.1356170316366</v>
      </c>
    </row>
    <row r="463" spans="1:12" x14ac:dyDescent="0.6">
      <c r="A463">
        <v>462</v>
      </c>
      <c r="B463" t="s">
        <v>16</v>
      </c>
      <c r="C463" t="s">
        <v>10</v>
      </c>
      <c r="D463">
        <v>100</v>
      </c>
      <c r="F463">
        <v>60</v>
      </c>
      <c r="G463">
        <v>26.024999999999999</v>
      </c>
      <c r="H463">
        <f t="shared" si="53"/>
        <v>502.6548245743669</v>
      </c>
      <c r="I463">
        <v>7.2435900000000003E-3</v>
      </c>
      <c r="J463">
        <v>82</v>
      </c>
      <c r="K463">
        <f t="shared" si="54"/>
        <v>0.37276351579344669</v>
      </c>
      <c r="L463">
        <f t="shared" si="55"/>
        <v>112.42282778332751</v>
      </c>
    </row>
    <row r="464" spans="1:12" x14ac:dyDescent="0.6">
      <c r="A464">
        <v>463</v>
      </c>
      <c r="B464" t="s">
        <v>16</v>
      </c>
      <c r="C464" t="s">
        <v>10</v>
      </c>
      <c r="D464">
        <v>100</v>
      </c>
      <c r="F464">
        <v>60</v>
      </c>
      <c r="G464">
        <v>27.225000000000001</v>
      </c>
      <c r="H464">
        <f t="shared" si="53"/>
        <v>502.6548245743669</v>
      </c>
      <c r="I464">
        <v>1.0366627E-2</v>
      </c>
      <c r="J464">
        <v>113</v>
      </c>
      <c r="K464">
        <f t="shared" si="54"/>
        <v>0.42586255050155231</v>
      </c>
      <c r="L464">
        <f t="shared" si="55"/>
        <v>128.43711936909014</v>
      </c>
    </row>
    <row r="465" spans="1:12" x14ac:dyDescent="0.6">
      <c r="A465">
        <v>464</v>
      </c>
      <c r="B465" t="s">
        <v>16</v>
      </c>
      <c r="C465" t="s">
        <v>10</v>
      </c>
      <c r="D465">
        <v>100</v>
      </c>
      <c r="F465">
        <v>60</v>
      </c>
      <c r="G465">
        <v>24.75</v>
      </c>
      <c r="H465">
        <f t="shared" si="53"/>
        <v>502.6548245743669</v>
      </c>
      <c r="I465">
        <v>6.0064819999999996E-3</v>
      </c>
      <c r="J465">
        <v>100</v>
      </c>
      <c r="K465">
        <f t="shared" si="54"/>
        <v>0.34466259862705095</v>
      </c>
      <c r="L465">
        <f t="shared" si="55"/>
        <v>103.94779083013543</v>
      </c>
    </row>
    <row r="466" spans="1:12" x14ac:dyDescent="0.6">
      <c r="A466">
        <v>465</v>
      </c>
      <c r="B466" t="s">
        <v>16</v>
      </c>
      <c r="C466" t="s">
        <v>10</v>
      </c>
      <c r="D466">
        <v>100</v>
      </c>
      <c r="F466">
        <v>64</v>
      </c>
      <c r="G466">
        <v>26.25</v>
      </c>
      <c r="H466">
        <f t="shared" si="53"/>
        <v>515.22119518872603</v>
      </c>
      <c r="J466">
        <v>118</v>
      </c>
      <c r="K466">
        <f t="shared" si="54"/>
        <v>0</v>
      </c>
      <c r="L466">
        <f t="shared" si="55"/>
        <v>0</v>
      </c>
    </row>
    <row r="467" spans="1:12" x14ac:dyDescent="0.6">
      <c r="A467">
        <v>466</v>
      </c>
      <c r="B467" s="1" t="s">
        <v>26</v>
      </c>
      <c r="C467" t="s">
        <v>10</v>
      </c>
      <c r="D467">
        <v>229</v>
      </c>
      <c r="F467">
        <v>80</v>
      </c>
      <c r="G467">
        <v>13.70726</v>
      </c>
      <c r="H467">
        <f t="shared" si="53"/>
        <v>970.75212995924608</v>
      </c>
      <c r="J467">
        <v>181</v>
      </c>
      <c r="K467">
        <f t="shared" si="54"/>
        <v>0</v>
      </c>
      <c r="L467">
        <f t="shared" si="55"/>
        <v>0</v>
      </c>
    </row>
    <row r="468" spans="1:12" x14ac:dyDescent="0.6">
      <c r="A468">
        <v>467</v>
      </c>
      <c r="B468" s="1" t="s">
        <v>26</v>
      </c>
      <c r="C468" t="s">
        <v>10</v>
      </c>
      <c r="D468">
        <v>229</v>
      </c>
      <c r="F468">
        <v>80</v>
      </c>
      <c r="G468">
        <v>12.72817</v>
      </c>
      <c r="H468">
        <f t="shared" si="53"/>
        <v>970.75212995924608</v>
      </c>
      <c r="J468">
        <v>152</v>
      </c>
      <c r="K468">
        <f t="shared" si="54"/>
        <v>0</v>
      </c>
      <c r="L468">
        <f t="shared" si="55"/>
        <v>0</v>
      </c>
    </row>
    <row r="469" spans="1:12" x14ac:dyDescent="0.6">
      <c r="A469">
        <v>468</v>
      </c>
      <c r="B469" s="1" t="s">
        <v>26</v>
      </c>
      <c r="C469" t="s">
        <v>12</v>
      </c>
      <c r="D469">
        <v>229</v>
      </c>
      <c r="E469">
        <v>432</v>
      </c>
      <c r="F469">
        <v>80</v>
      </c>
      <c r="G469">
        <v>14.196804999999999</v>
      </c>
      <c r="H469">
        <f>2*D469+2*E469+2*F469</f>
        <v>1482</v>
      </c>
      <c r="J469">
        <v>245</v>
      </c>
      <c r="K469">
        <f t="shared" si="54"/>
        <v>0</v>
      </c>
      <c r="L469">
        <f t="shared" si="55"/>
        <v>0</v>
      </c>
    </row>
    <row r="470" spans="1:12" x14ac:dyDescent="0.6">
      <c r="A470">
        <v>469</v>
      </c>
      <c r="B470" s="1" t="s">
        <v>26</v>
      </c>
      <c r="C470" t="s">
        <v>10</v>
      </c>
      <c r="D470">
        <v>229</v>
      </c>
      <c r="F470">
        <v>80</v>
      </c>
      <c r="G470">
        <v>22.274297499999999</v>
      </c>
      <c r="H470">
        <f>PI()*(D470+F470)</f>
        <v>970.75212995924608</v>
      </c>
      <c r="J470">
        <v>245</v>
      </c>
      <c r="K470">
        <f t="shared" si="54"/>
        <v>0</v>
      </c>
      <c r="L470">
        <f t="shared" si="55"/>
        <v>0</v>
      </c>
    </row>
    <row r="471" spans="1:12" x14ac:dyDescent="0.6">
      <c r="A471">
        <v>470</v>
      </c>
      <c r="B471" s="2" t="s">
        <v>88</v>
      </c>
      <c r="C471" t="s">
        <v>7</v>
      </c>
      <c r="D471">
        <v>254</v>
      </c>
      <c r="F471">
        <v>117.47499999999999</v>
      </c>
      <c r="G471">
        <v>13.360571999999999</v>
      </c>
      <c r="H471">
        <f t="shared" ref="H471:H497" si="56">4*D471+2*F471</f>
        <v>1250.95</v>
      </c>
      <c r="J471">
        <v>302</v>
      </c>
      <c r="K471">
        <f t="shared" si="54"/>
        <v>0</v>
      </c>
      <c r="L471">
        <f t="shared" si="55"/>
        <v>0</v>
      </c>
    </row>
    <row r="472" spans="1:12" x14ac:dyDescent="0.6">
      <c r="A472">
        <v>471</v>
      </c>
      <c r="B472" s="2" t="s">
        <v>88</v>
      </c>
      <c r="C472" t="s">
        <v>7</v>
      </c>
      <c r="D472">
        <v>254</v>
      </c>
      <c r="F472">
        <v>117.47499999999999</v>
      </c>
      <c r="G472">
        <v>23.970438000000001</v>
      </c>
      <c r="H472">
        <f t="shared" si="56"/>
        <v>1250.95</v>
      </c>
      <c r="J472">
        <v>365</v>
      </c>
      <c r="K472">
        <f t="shared" si="54"/>
        <v>0</v>
      </c>
      <c r="L472">
        <f t="shared" si="55"/>
        <v>0</v>
      </c>
    </row>
    <row r="473" spans="1:12" x14ac:dyDescent="0.6">
      <c r="A473">
        <v>472</v>
      </c>
      <c r="B473" s="2" t="s">
        <v>88</v>
      </c>
      <c r="C473" t="s">
        <v>7</v>
      </c>
      <c r="D473">
        <v>254</v>
      </c>
      <c r="F473">
        <v>117.47499999999999</v>
      </c>
      <c r="G473">
        <v>27.572552999999999</v>
      </c>
      <c r="H473">
        <f t="shared" si="56"/>
        <v>1250.95</v>
      </c>
      <c r="J473">
        <v>356</v>
      </c>
      <c r="K473">
        <f t="shared" si="54"/>
        <v>0</v>
      </c>
      <c r="L473">
        <f t="shared" si="55"/>
        <v>0</v>
      </c>
    </row>
    <row r="474" spans="1:12" x14ac:dyDescent="0.6">
      <c r="A474">
        <v>473</v>
      </c>
      <c r="B474" s="2" t="s">
        <v>88</v>
      </c>
      <c r="C474" t="s">
        <v>7</v>
      </c>
      <c r="D474">
        <v>254</v>
      </c>
      <c r="F474">
        <v>117.47499999999999</v>
      </c>
      <c r="G474">
        <v>34.973261999999998</v>
      </c>
      <c r="H474">
        <f t="shared" si="56"/>
        <v>1250.95</v>
      </c>
      <c r="J474">
        <v>351</v>
      </c>
      <c r="K474">
        <f t="shared" si="54"/>
        <v>0</v>
      </c>
      <c r="L474">
        <f t="shared" si="55"/>
        <v>0</v>
      </c>
    </row>
    <row r="475" spans="1:12" x14ac:dyDescent="0.6">
      <c r="A475">
        <v>474</v>
      </c>
      <c r="B475" s="2" t="s">
        <v>88</v>
      </c>
      <c r="C475" t="s">
        <v>7</v>
      </c>
      <c r="D475">
        <v>254</v>
      </c>
      <c r="F475">
        <v>117.47499999999999</v>
      </c>
      <c r="G475">
        <v>19.254942</v>
      </c>
      <c r="H475">
        <f t="shared" si="56"/>
        <v>1250.95</v>
      </c>
      <c r="J475">
        <v>356</v>
      </c>
      <c r="K475">
        <f t="shared" si="54"/>
        <v>0</v>
      </c>
      <c r="L475">
        <f t="shared" si="55"/>
        <v>0</v>
      </c>
    </row>
    <row r="476" spans="1:12" x14ac:dyDescent="0.6">
      <c r="A476">
        <v>475</v>
      </c>
      <c r="B476" s="2" t="s">
        <v>88</v>
      </c>
      <c r="C476" t="s">
        <v>7</v>
      </c>
      <c r="D476">
        <v>254</v>
      </c>
      <c r="F476">
        <v>114.3</v>
      </c>
      <c r="G476">
        <v>12.967613999999999</v>
      </c>
      <c r="H476">
        <f t="shared" si="56"/>
        <v>1244.5999999999999</v>
      </c>
      <c r="J476">
        <v>334</v>
      </c>
      <c r="K476">
        <f t="shared" si="54"/>
        <v>0</v>
      </c>
      <c r="L476">
        <f t="shared" si="55"/>
        <v>0</v>
      </c>
    </row>
    <row r="477" spans="1:12" x14ac:dyDescent="0.6">
      <c r="A477">
        <v>476</v>
      </c>
      <c r="B477" s="2" t="s">
        <v>88</v>
      </c>
      <c r="C477" t="s">
        <v>7</v>
      </c>
      <c r="D477">
        <v>254</v>
      </c>
      <c r="F477">
        <v>114.3</v>
      </c>
      <c r="G477">
        <v>18.534519</v>
      </c>
      <c r="H477">
        <f t="shared" si="56"/>
        <v>1244.5999999999999</v>
      </c>
      <c r="J477">
        <v>400</v>
      </c>
      <c r="K477">
        <f t="shared" si="54"/>
        <v>0</v>
      </c>
      <c r="L477">
        <f t="shared" si="55"/>
        <v>0</v>
      </c>
    </row>
    <row r="478" spans="1:12" x14ac:dyDescent="0.6">
      <c r="A478">
        <v>477</v>
      </c>
      <c r="B478" s="2" t="s">
        <v>88</v>
      </c>
      <c r="C478" t="s">
        <v>7</v>
      </c>
      <c r="D478">
        <v>254</v>
      </c>
      <c r="F478">
        <v>114.3</v>
      </c>
      <c r="G478">
        <v>35.562699000000002</v>
      </c>
      <c r="H478">
        <f t="shared" si="56"/>
        <v>1244.5999999999999</v>
      </c>
      <c r="J478">
        <v>467</v>
      </c>
      <c r="K478">
        <f t="shared" si="54"/>
        <v>0</v>
      </c>
      <c r="L478">
        <f t="shared" si="55"/>
        <v>0</v>
      </c>
    </row>
    <row r="479" spans="1:12" x14ac:dyDescent="0.6">
      <c r="A479">
        <v>478</v>
      </c>
      <c r="B479" s="2" t="s">
        <v>88</v>
      </c>
      <c r="C479" t="s">
        <v>7</v>
      </c>
      <c r="D479">
        <v>254</v>
      </c>
      <c r="F479">
        <v>114.3</v>
      </c>
      <c r="G479">
        <v>26.524664999999999</v>
      </c>
      <c r="H479">
        <f t="shared" si="56"/>
        <v>1244.5999999999999</v>
      </c>
      <c r="J479">
        <v>512</v>
      </c>
      <c r="K479">
        <f t="shared" si="54"/>
        <v>0</v>
      </c>
      <c r="L479">
        <f t="shared" si="55"/>
        <v>0</v>
      </c>
    </row>
    <row r="480" spans="1:12" x14ac:dyDescent="0.6">
      <c r="A480">
        <v>479</v>
      </c>
      <c r="B480" s="2" t="s">
        <v>88</v>
      </c>
      <c r="C480" t="s">
        <v>7</v>
      </c>
      <c r="D480">
        <v>254</v>
      </c>
      <c r="F480">
        <v>114.3</v>
      </c>
      <c r="G480">
        <v>12.116205000000001</v>
      </c>
      <c r="H480">
        <f t="shared" si="56"/>
        <v>1244.5999999999999</v>
      </c>
      <c r="J480">
        <v>356</v>
      </c>
      <c r="K480">
        <f t="shared" si="54"/>
        <v>0</v>
      </c>
      <c r="L480">
        <f t="shared" si="55"/>
        <v>0</v>
      </c>
    </row>
    <row r="481" spans="1:12" x14ac:dyDescent="0.6">
      <c r="A481">
        <v>480</v>
      </c>
      <c r="B481" s="2" t="s">
        <v>88</v>
      </c>
      <c r="C481" t="s">
        <v>7</v>
      </c>
      <c r="D481">
        <v>254</v>
      </c>
      <c r="F481">
        <v>114.3</v>
      </c>
      <c r="G481">
        <v>21.481704000000001</v>
      </c>
      <c r="H481">
        <f t="shared" si="56"/>
        <v>1244.5999999999999</v>
      </c>
      <c r="J481">
        <v>445</v>
      </c>
      <c r="K481">
        <f t="shared" si="54"/>
        <v>0</v>
      </c>
      <c r="L481">
        <f t="shared" si="55"/>
        <v>0</v>
      </c>
    </row>
    <row r="482" spans="1:12" x14ac:dyDescent="0.6">
      <c r="A482">
        <v>481</v>
      </c>
      <c r="B482" s="2" t="s">
        <v>88</v>
      </c>
      <c r="C482" t="s">
        <v>7</v>
      </c>
      <c r="D482">
        <v>254</v>
      </c>
      <c r="F482">
        <v>114.3</v>
      </c>
      <c r="G482">
        <v>25.214804999999998</v>
      </c>
      <c r="H482">
        <f t="shared" si="56"/>
        <v>1244.5999999999999</v>
      </c>
      <c r="J482">
        <v>534</v>
      </c>
      <c r="K482">
        <f t="shared" si="54"/>
        <v>0</v>
      </c>
      <c r="L482">
        <f t="shared" si="55"/>
        <v>0</v>
      </c>
    </row>
    <row r="483" spans="1:12" x14ac:dyDescent="0.6">
      <c r="A483">
        <v>482</v>
      </c>
      <c r="B483" s="2" t="s">
        <v>88</v>
      </c>
      <c r="C483" t="s">
        <v>7</v>
      </c>
      <c r="D483">
        <v>254</v>
      </c>
      <c r="F483">
        <v>114.3</v>
      </c>
      <c r="G483">
        <v>32.811993000000001</v>
      </c>
      <c r="H483">
        <f t="shared" si="56"/>
        <v>1244.5999999999999</v>
      </c>
      <c r="J483">
        <v>547</v>
      </c>
      <c r="K483">
        <f t="shared" si="54"/>
        <v>0</v>
      </c>
      <c r="L483">
        <f t="shared" si="55"/>
        <v>0</v>
      </c>
    </row>
    <row r="484" spans="1:12" x14ac:dyDescent="0.6">
      <c r="A484">
        <v>483</v>
      </c>
      <c r="B484" s="2" t="s">
        <v>88</v>
      </c>
      <c r="C484" t="s">
        <v>7</v>
      </c>
      <c r="D484">
        <v>356</v>
      </c>
      <c r="F484">
        <v>117.47499999999999</v>
      </c>
      <c r="G484">
        <v>24.821847000000002</v>
      </c>
      <c r="H484">
        <f t="shared" si="56"/>
        <v>1658.95</v>
      </c>
      <c r="J484">
        <v>400</v>
      </c>
      <c r="K484">
        <f t="shared" si="54"/>
        <v>0</v>
      </c>
      <c r="L484">
        <f t="shared" si="55"/>
        <v>0</v>
      </c>
    </row>
    <row r="485" spans="1:12" x14ac:dyDescent="0.6">
      <c r="A485">
        <v>484</v>
      </c>
      <c r="B485" s="2" t="s">
        <v>88</v>
      </c>
      <c r="C485" t="s">
        <v>7</v>
      </c>
      <c r="D485">
        <v>356</v>
      </c>
      <c r="F485">
        <v>114.3</v>
      </c>
      <c r="G485">
        <v>26.393678999999999</v>
      </c>
      <c r="H485">
        <f t="shared" si="56"/>
        <v>1652.6</v>
      </c>
      <c r="J485">
        <v>534</v>
      </c>
      <c r="K485">
        <f t="shared" si="54"/>
        <v>0</v>
      </c>
      <c r="L485">
        <f t="shared" si="55"/>
        <v>0</v>
      </c>
    </row>
    <row r="486" spans="1:12" x14ac:dyDescent="0.6">
      <c r="A486">
        <v>485</v>
      </c>
      <c r="B486" s="2" t="s">
        <v>88</v>
      </c>
      <c r="C486" t="s">
        <v>7</v>
      </c>
      <c r="D486">
        <v>356</v>
      </c>
      <c r="F486">
        <v>114.3</v>
      </c>
      <c r="G486">
        <v>23.773959000000001</v>
      </c>
      <c r="H486">
        <f t="shared" si="56"/>
        <v>1652.6</v>
      </c>
      <c r="J486">
        <v>498</v>
      </c>
      <c r="K486">
        <f t="shared" si="54"/>
        <v>0</v>
      </c>
      <c r="L486">
        <f t="shared" si="55"/>
        <v>0</v>
      </c>
    </row>
    <row r="487" spans="1:12" x14ac:dyDescent="0.6">
      <c r="A487">
        <v>486</v>
      </c>
      <c r="B487" s="2" t="s">
        <v>88</v>
      </c>
      <c r="C487" t="s">
        <v>7</v>
      </c>
      <c r="D487">
        <v>254</v>
      </c>
      <c r="F487">
        <v>114.3</v>
      </c>
      <c r="G487">
        <v>27.048608999999999</v>
      </c>
      <c r="H487">
        <f t="shared" si="56"/>
        <v>1244.5999999999999</v>
      </c>
      <c r="J487">
        <v>400</v>
      </c>
      <c r="K487">
        <f t="shared" si="54"/>
        <v>0</v>
      </c>
      <c r="L487">
        <f t="shared" si="55"/>
        <v>0</v>
      </c>
    </row>
    <row r="488" spans="1:12" x14ac:dyDescent="0.6">
      <c r="A488">
        <v>487</v>
      </c>
      <c r="B488" s="2" t="s">
        <v>88</v>
      </c>
      <c r="C488" t="s">
        <v>7</v>
      </c>
      <c r="D488">
        <v>356</v>
      </c>
      <c r="F488">
        <v>114.3</v>
      </c>
      <c r="G488">
        <v>20.826774</v>
      </c>
      <c r="H488">
        <f t="shared" si="56"/>
        <v>1652.6</v>
      </c>
      <c r="J488">
        <v>436</v>
      </c>
      <c r="K488">
        <f t="shared" si="54"/>
        <v>0</v>
      </c>
      <c r="L488">
        <f t="shared" si="55"/>
        <v>0</v>
      </c>
    </row>
    <row r="489" spans="1:12" x14ac:dyDescent="0.6">
      <c r="A489">
        <v>488</v>
      </c>
      <c r="B489" s="2" t="s">
        <v>88</v>
      </c>
      <c r="C489" t="s">
        <v>7</v>
      </c>
      <c r="D489">
        <v>254</v>
      </c>
      <c r="F489">
        <v>114.3</v>
      </c>
      <c r="G489">
        <v>28.358468999999999</v>
      </c>
      <c r="H489">
        <f t="shared" si="56"/>
        <v>1244.5999999999999</v>
      </c>
      <c r="J489">
        <v>445</v>
      </c>
      <c r="K489">
        <f t="shared" si="54"/>
        <v>0</v>
      </c>
      <c r="L489">
        <f t="shared" si="55"/>
        <v>0</v>
      </c>
    </row>
    <row r="490" spans="1:12" x14ac:dyDescent="0.6">
      <c r="A490">
        <v>489</v>
      </c>
      <c r="B490" s="2" t="s">
        <v>88</v>
      </c>
      <c r="C490" t="s">
        <v>7</v>
      </c>
      <c r="D490">
        <v>356</v>
      </c>
      <c r="F490">
        <v>114.3</v>
      </c>
      <c r="G490">
        <v>28.227482999999999</v>
      </c>
      <c r="H490">
        <f t="shared" si="56"/>
        <v>1652.6</v>
      </c>
      <c r="J490">
        <v>489</v>
      </c>
      <c r="K490">
        <f t="shared" si="54"/>
        <v>0</v>
      </c>
      <c r="L490">
        <f t="shared" si="55"/>
        <v>0</v>
      </c>
    </row>
    <row r="491" spans="1:12" x14ac:dyDescent="0.6">
      <c r="A491">
        <v>490</v>
      </c>
      <c r="B491" s="2" t="s">
        <v>88</v>
      </c>
      <c r="C491" t="s">
        <v>7</v>
      </c>
      <c r="D491">
        <v>356</v>
      </c>
      <c r="F491">
        <v>120.65</v>
      </c>
      <c r="G491">
        <v>24.887339999999998</v>
      </c>
      <c r="H491">
        <f t="shared" si="56"/>
        <v>1665.3</v>
      </c>
      <c r="J491">
        <v>236</v>
      </c>
      <c r="K491">
        <f t="shared" si="54"/>
        <v>0</v>
      </c>
      <c r="L491">
        <f t="shared" si="55"/>
        <v>0</v>
      </c>
    </row>
    <row r="492" spans="1:12" x14ac:dyDescent="0.6">
      <c r="A492">
        <v>491</v>
      </c>
      <c r="B492" s="2" t="s">
        <v>88</v>
      </c>
      <c r="C492" t="s">
        <v>7</v>
      </c>
      <c r="D492">
        <v>254</v>
      </c>
      <c r="F492">
        <v>114.3</v>
      </c>
      <c r="G492">
        <v>13.491557999999999</v>
      </c>
      <c r="H492">
        <f t="shared" si="56"/>
        <v>1244.5999999999999</v>
      </c>
      <c r="J492">
        <v>178</v>
      </c>
      <c r="K492">
        <f t="shared" si="54"/>
        <v>0</v>
      </c>
      <c r="L492">
        <f t="shared" si="55"/>
        <v>0</v>
      </c>
    </row>
    <row r="493" spans="1:12" x14ac:dyDescent="0.6">
      <c r="A493">
        <v>492</v>
      </c>
      <c r="B493" s="2" t="s">
        <v>88</v>
      </c>
      <c r="C493" t="s">
        <v>7</v>
      </c>
      <c r="D493">
        <v>254</v>
      </c>
      <c r="F493">
        <v>114.3</v>
      </c>
      <c r="G493">
        <v>45.190170000000002</v>
      </c>
      <c r="H493">
        <f t="shared" si="56"/>
        <v>1244.5999999999999</v>
      </c>
      <c r="J493">
        <v>200</v>
      </c>
      <c r="K493">
        <f t="shared" si="54"/>
        <v>0</v>
      </c>
      <c r="L493">
        <f t="shared" si="55"/>
        <v>0</v>
      </c>
    </row>
    <row r="494" spans="1:12" x14ac:dyDescent="0.6">
      <c r="A494">
        <v>493</v>
      </c>
      <c r="B494" s="2" t="s">
        <v>88</v>
      </c>
      <c r="C494" t="s">
        <v>7</v>
      </c>
      <c r="D494">
        <v>254</v>
      </c>
      <c r="F494">
        <v>114.3</v>
      </c>
      <c r="G494">
        <v>45.321156000000002</v>
      </c>
      <c r="H494">
        <f t="shared" si="56"/>
        <v>1244.5999999999999</v>
      </c>
      <c r="J494">
        <v>334</v>
      </c>
      <c r="K494">
        <f t="shared" si="54"/>
        <v>0</v>
      </c>
      <c r="L494">
        <f t="shared" si="55"/>
        <v>0</v>
      </c>
    </row>
    <row r="495" spans="1:12" x14ac:dyDescent="0.6">
      <c r="A495">
        <v>494</v>
      </c>
      <c r="B495" s="2" t="s">
        <v>88</v>
      </c>
      <c r="C495" t="s">
        <v>7</v>
      </c>
      <c r="D495">
        <v>254</v>
      </c>
      <c r="F495">
        <v>114.3</v>
      </c>
      <c r="G495">
        <v>41.719040999999997</v>
      </c>
      <c r="H495">
        <f t="shared" si="56"/>
        <v>1244.5999999999999</v>
      </c>
      <c r="J495">
        <v>505</v>
      </c>
      <c r="K495">
        <f t="shared" si="54"/>
        <v>0</v>
      </c>
      <c r="L495">
        <f t="shared" si="55"/>
        <v>0</v>
      </c>
    </row>
    <row r="496" spans="1:12" x14ac:dyDescent="0.6">
      <c r="A496">
        <v>495</v>
      </c>
      <c r="B496" s="2" t="s">
        <v>88</v>
      </c>
      <c r="C496" t="s">
        <v>7</v>
      </c>
      <c r="D496">
        <v>254</v>
      </c>
      <c r="F496">
        <v>114.3</v>
      </c>
      <c r="G496">
        <v>12.836627999999999</v>
      </c>
      <c r="H496">
        <f t="shared" si="56"/>
        <v>1244.5999999999999</v>
      </c>
      <c r="J496">
        <v>329</v>
      </c>
      <c r="K496">
        <f t="shared" si="54"/>
        <v>0</v>
      </c>
      <c r="L496">
        <f t="shared" si="55"/>
        <v>0</v>
      </c>
    </row>
    <row r="497" spans="1:12" x14ac:dyDescent="0.6">
      <c r="A497">
        <v>496</v>
      </c>
      <c r="B497" s="2" t="s">
        <v>88</v>
      </c>
      <c r="C497" t="s">
        <v>7</v>
      </c>
      <c r="D497">
        <v>254</v>
      </c>
      <c r="F497">
        <v>114.3</v>
      </c>
      <c r="G497">
        <v>48.006368999999999</v>
      </c>
      <c r="H497">
        <f t="shared" si="56"/>
        <v>1244.5999999999999</v>
      </c>
      <c r="J497">
        <v>578</v>
      </c>
      <c r="K497">
        <f t="shared" si="54"/>
        <v>0</v>
      </c>
      <c r="L497">
        <f t="shared" si="55"/>
        <v>0</v>
      </c>
    </row>
    <row r="498" spans="1:12" x14ac:dyDescent="0.6">
      <c r="A498">
        <v>497</v>
      </c>
      <c r="B498" s="2" t="s">
        <v>89</v>
      </c>
      <c r="C498" t="s">
        <v>10</v>
      </c>
      <c r="D498">
        <v>140</v>
      </c>
      <c r="F498">
        <v>101</v>
      </c>
      <c r="G498">
        <v>11.5395</v>
      </c>
      <c r="H498">
        <f t="shared" ref="H498:H518" si="57">PI()*(D498+F498)</f>
        <v>757.12382951514019</v>
      </c>
      <c r="J498">
        <v>183</v>
      </c>
      <c r="K498">
        <f t="shared" si="54"/>
        <v>0</v>
      </c>
      <c r="L498">
        <f t="shared" si="55"/>
        <v>0</v>
      </c>
    </row>
    <row r="499" spans="1:12" x14ac:dyDescent="0.6">
      <c r="A499">
        <v>498</v>
      </c>
      <c r="B499" s="2" t="s">
        <v>89</v>
      </c>
      <c r="C499" t="s">
        <v>10</v>
      </c>
      <c r="D499">
        <v>140</v>
      </c>
      <c r="F499">
        <v>111</v>
      </c>
      <c r="G499">
        <v>11.5395</v>
      </c>
      <c r="H499">
        <f t="shared" si="57"/>
        <v>788.53975605103813</v>
      </c>
      <c r="J499">
        <v>177</v>
      </c>
      <c r="K499">
        <f t="shared" si="54"/>
        <v>0</v>
      </c>
      <c r="L499">
        <f t="shared" si="55"/>
        <v>0</v>
      </c>
    </row>
    <row r="500" spans="1:12" x14ac:dyDescent="0.6">
      <c r="A500">
        <v>499</v>
      </c>
      <c r="B500" s="2" t="s">
        <v>89</v>
      </c>
      <c r="C500" t="s">
        <v>10</v>
      </c>
      <c r="D500">
        <v>140</v>
      </c>
      <c r="F500">
        <v>106</v>
      </c>
      <c r="G500">
        <v>11.5395</v>
      </c>
      <c r="H500">
        <f t="shared" si="57"/>
        <v>772.8317927830891</v>
      </c>
      <c r="J500">
        <v>172</v>
      </c>
      <c r="K500">
        <f t="shared" si="54"/>
        <v>0</v>
      </c>
      <c r="L500">
        <f t="shared" si="55"/>
        <v>0</v>
      </c>
    </row>
    <row r="501" spans="1:12" x14ac:dyDescent="0.6">
      <c r="A501">
        <v>500</v>
      </c>
      <c r="B501" s="2" t="s">
        <v>89</v>
      </c>
      <c r="C501" t="s">
        <v>10</v>
      </c>
      <c r="D501">
        <v>140</v>
      </c>
      <c r="F501">
        <v>110</v>
      </c>
      <c r="G501">
        <v>11.5395</v>
      </c>
      <c r="H501">
        <f t="shared" si="57"/>
        <v>785.39816339744823</v>
      </c>
      <c r="J501">
        <v>177</v>
      </c>
      <c r="K501">
        <f t="shared" si="54"/>
        <v>0</v>
      </c>
      <c r="L501">
        <f t="shared" si="55"/>
        <v>0</v>
      </c>
    </row>
    <row r="502" spans="1:12" x14ac:dyDescent="0.6">
      <c r="A502">
        <v>501</v>
      </c>
      <c r="B502" s="2" t="s">
        <v>89</v>
      </c>
      <c r="C502" t="s">
        <v>10</v>
      </c>
      <c r="D502">
        <v>140</v>
      </c>
      <c r="F502">
        <v>111</v>
      </c>
      <c r="G502">
        <v>11.5395</v>
      </c>
      <c r="H502">
        <f t="shared" si="57"/>
        <v>788.53975605103813</v>
      </c>
      <c r="J502">
        <v>198</v>
      </c>
      <c r="K502">
        <f t="shared" si="54"/>
        <v>0</v>
      </c>
      <c r="L502">
        <f t="shared" si="55"/>
        <v>0</v>
      </c>
    </row>
    <row r="503" spans="1:12" x14ac:dyDescent="0.6">
      <c r="A503">
        <v>502</v>
      </c>
      <c r="B503" s="2" t="s">
        <v>89</v>
      </c>
      <c r="C503" t="s">
        <v>10</v>
      </c>
      <c r="D503">
        <v>140</v>
      </c>
      <c r="F503">
        <v>107</v>
      </c>
      <c r="G503">
        <v>11.5395</v>
      </c>
      <c r="H503">
        <f t="shared" si="57"/>
        <v>775.97338543667888</v>
      </c>
      <c r="J503">
        <v>183</v>
      </c>
      <c r="K503">
        <f t="shared" si="54"/>
        <v>0</v>
      </c>
      <c r="L503">
        <f t="shared" si="55"/>
        <v>0</v>
      </c>
    </row>
    <row r="504" spans="1:12" x14ac:dyDescent="0.6">
      <c r="A504">
        <v>503</v>
      </c>
      <c r="B504" s="2" t="s">
        <v>89</v>
      </c>
      <c r="C504" t="s">
        <v>10</v>
      </c>
      <c r="D504">
        <v>140</v>
      </c>
      <c r="F504">
        <v>106</v>
      </c>
      <c r="G504">
        <v>11.5395</v>
      </c>
      <c r="H504">
        <f t="shared" si="57"/>
        <v>772.8317927830891</v>
      </c>
      <c r="J504">
        <v>187</v>
      </c>
      <c r="K504">
        <f t="shared" si="54"/>
        <v>0</v>
      </c>
      <c r="L504">
        <f t="shared" si="55"/>
        <v>0</v>
      </c>
    </row>
    <row r="505" spans="1:12" x14ac:dyDescent="0.6">
      <c r="A505">
        <v>504</v>
      </c>
      <c r="B505" s="1" t="s">
        <v>27</v>
      </c>
      <c r="C505" t="s">
        <v>10</v>
      </c>
      <c r="D505">
        <v>51</v>
      </c>
      <c r="F505">
        <v>130</v>
      </c>
      <c r="G505">
        <v>24.89095</v>
      </c>
      <c r="H505">
        <f t="shared" si="57"/>
        <v>568.62827029975256</v>
      </c>
      <c r="J505">
        <v>151</v>
      </c>
      <c r="K505">
        <f t="shared" si="54"/>
        <v>0</v>
      </c>
      <c r="L505">
        <f t="shared" si="55"/>
        <v>0</v>
      </c>
    </row>
    <row r="506" spans="1:12" x14ac:dyDescent="0.6">
      <c r="A506">
        <v>505</v>
      </c>
      <c r="B506" s="1" t="s">
        <v>27</v>
      </c>
      <c r="C506" t="s">
        <v>10</v>
      </c>
      <c r="D506">
        <v>51</v>
      </c>
      <c r="F506">
        <v>130</v>
      </c>
      <c r="G506">
        <v>24.89095</v>
      </c>
      <c r="H506">
        <f t="shared" si="57"/>
        <v>568.62827029975256</v>
      </c>
      <c r="J506">
        <v>166</v>
      </c>
      <c r="K506">
        <f t="shared" si="54"/>
        <v>0</v>
      </c>
      <c r="L506">
        <f t="shared" si="55"/>
        <v>0</v>
      </c>
    </row>
    <row r="507" spans="1:12" x14ac:dyDescent="0.6">
      <c r="A507">
        <v>506</v>
      </c>
      <c r="B507" s="1" t="s">
        <v>27</v>
      </c>
      <c r="C507" t="s">
        <v>10</v>
      </c>
      <c r="D507">
        <v>152</v>
      </c>
      <c r="F507">
        <v>130</v>
      </c>
      <c r="G507">
        <v>24.89095</v>
      </c>
      <c r="H507">
        <f t="shared" si="57"/>
        <v>885.92912831232161</v>
      </c>
      <c r="J507">
        <v>201</v>
      </c>
      <c r="K507">
        <f t="shared" si="54"/>
        <v>0</v>
      </c>
      <c r="L507">
        <f t="shared" si="55"/>
        <v>0</v>
      </c>
    </row>
    <row r="508" spans="1:12" x14ac:dyDescent="0.6">
      <c r="A508">
        <v>507</v>
      </c>
      <c r="B508" s="1" t="s">
        <v>27</v>
      </c>
      <c r="C508" t="s">
        <v>10</v>
      </c>
      <c r="D508">
        <v>152</v>
      </c>
      <c r="F508">
        <v>130</v>
      </c>
      <c r="G508">
        <v>24.89095</v>
      </c>
      <c r="H508">
        <f t="shared" si="57"/>
        <v>885.92912831232161</v>
      </c>
      <c r="J508">
        <v>198</v>
      </c>
      <c r="K508">
        <f t="shared" si="54"/>
        <v>0</v>
      </c>
      <c r="L508">
        <f t="shared" si="55"/>
        <v>0</v>
      </c>
    </row>
    <row r="509" spans="1:12" x14ac:dyDescent="0.6">
      <c r="A509">
        <v>508</v>
      </c>
      <c r="B509" s="1" t="s">
        <v>27</v>
      </c>
      <c r="C509" t="s">
        <v>10</v>
      </c>
      <c r="D509">
        <v>152</v>
      </c>
      <c r="F509">
        <v>130</v>
      </c>
      <c r="G509">
        <v>24.89095</v>
      </c>
      <c r="H509">
        <f t="shared" si="57"/>
        <v>885.92912831232161</v>
      </c>
      <c r="J509">
        <v>200</v>
      </c>
      <c r="K509">
        <f t="shared" si="54"/>
        <v>0</v>
      </c>
      <c r="L509">
        <f t="shared" si="55"/>
        <v>0</v>
      </c>
    </row>
    <row r="510" spans="1:12" x14ac:dyDescent="0.6">
      <c r="A510">
        <v>509</v>
      </c>
      <c r="B510" s="1" t="s">
        <v>27</v>
      </c>
      <c r="C510" t="s">
        <v>10</v>
      </c>
      <c r="D510">
        <v>152</v>
      </c>
      <c r="F510">
        <v>130</v>
      </c>
      <c r="G510">
        <v>24.89095</v>
      </c>
      <c r="H510">
        <f t="shared" si="57"/>
        <v>885.92912831232161</v>
      </c>
      <c r="J510">
        <v>199</v>
      </c>
      <c r="K510">
        <f t="shared" si="54"/>
        <v>0</v>
      </c>
      <c r="L510">
        <f t="shared" si="55"/>
        <v>0</v>
      </c>
    </row>
    <row r="511" spans="1:12" x14ac:dyDescent="0.6">
      <c r="A511">
        <v>510</v>
      </c>
      <c r="B511" s="1" t="s">
        <v>27</v>
      </c>
      <c r="C511" t="s">
        <v>10</v>
      </c>
      <c r="D511">
        <v>254</v>
      </c>
      <c r="F511">
        <v>130</v>
      </c>
      <c r="G511">
        <v>24.89095</v>
      </c>
      <c r="H511">
        <f t="shared" si="57"/>
        <v>1206.3715789784806</v>
      </c>
      <c r="J511">
        <v>220</v>
      </c>
      <c r="K511">
        <f t="shared" si="54"/>
        <v>0</v>
      </c>
      <c r="L511">
        <f t="shared" si="55"/>
        <v>0</v>
      </c>
    </row>
    <row r="512" spans="1:12" x14ac:dyDescent="0.6">
      <c r="A512">
        <v>511</v>
      </c>
      <c r="B512" s="1" t="s">
        <v>27</v>
      </c>
      <c r="C512" t="s">
        <v>10</v>
      </c>
      <c r="D512">
        <v>254</v>
      </c>
      <c r="F512">
        <v>130</v>
      </c>
      <c r="G512">
        <v>24.89095</v>
      </c>
      <c r="H512">
        <f t="shared" si="57"/>
        <v>1206.3715789784806</v>
      </c>
      <c r="J512">
        <v>216</v>
      </c>
      <c r="K512">
        <f t="shared" si="54"/>
        <v>0</v>
      </c>
      <c r="L512">
        <f t="shared" si="55"/>
        <v>0</v>
      </c>
    </row>
    <row r="513" spans="1:12" x14ac:dyDescent="0.6">
      <c r="A513">
        <v>512</v>
      </c>
      <c r="B513" s="1" t="s">
        <v>27</v>
      </c>
      <c r="C513" t="s">
        <v>10</v>
      </c>
      <c r="D513">
        <v>356</v>
      </c>
      <c r="F513">
        <v>130</v>
      </c>
      <c r="G513">
        <v>24.89095</v>
      </c>
      <c r="H513">
        <f t="shared" si="57"/>
        <v>1526.8140296446395</v>
      </c>
      <c r="J513">
        <v>243</v>
      </c>
      <c r="K513">
        <f t="shared" si="54"/>
        <v>0</v>
      </c>
      <c r="L513">
        <f t="shared" si="55"/>
        <v>0</v>
      </c>
    </row>
    <row r="514" spans="1:12" x14ac:dyDescent="0.6">
      <c r="A514">
        <v>513</v>
      </c>
      <c r="B514" s="1" t="s">
        <v>27</v>
      </c>
      <c r="C514" t="s">
        <v>10</v>
      </c>
      <c r="D514">
        <v>356</v>
      </c>
      <c r="F514">
        <v>130</v>
      </c>
      <c r="G514">
        <v>24.89095</v>
      </c>
      <c r="H514">
        <f t="shared" si="57"/>
        <v>1526.8140296446395</v>
      </c>
      <c r="J514">
        <v>243</v>
      </c>
      <c r="K514">
        <f t="shared" si="54"/>
        <v>0</v>
      </c>
      <c r="L514">
        <f t="shared" si="55"/>
        <v>0</v>
      </c>
    </row>
    <row r="515" spans="1:12" x14ac:dyDescent="0.6">
      <c r="A515">
        <v>514</v>
      </c>
      <c r="B515" s="1" t="s">
        <v>27</v>
      </c>
      <c r="C515" t="s">
        <v>10</v>
      </c>
      <c r="D515">
        <v>356</v>
      </c>
      <c r="F515">
        <v>130</v>
      </c>
      <c r="G515">
        <v>24.89095</v>
      </c>
      <c r="H515">
        <f t="shared" si="57"/>
        <v>1526.8140296446395</v>
      </c>
      <c r="J515">
        <v>249</v>
      </c>
      <c r="K515">
        <f t="shared" ref="K515:K520" si="58">(I515*G515*16/F515)^0.33</f>
        <v>0</v>
      </c>
      <c r="L515">
        <f t="shared" ref="L515:L520" si="59">K515*H515*F515/100</f>
        <v>0</v>
      </c>
    </row>
    <row r="516" spans="1:12" x14ac:dyDescent="0.6">
      <c r="A516">
        <v>515</v>
      </c>
      <c r="B516" s="1" t="s">
        <v>27</v>
      </c>
      <c r="C516" t="s">
        <v>10</v>
      </c>
      <c r="D516">
        <v>356</v>
      </c>
      <c r="F516">
        <v>130</v>
      </c>
      <c r="G516">
        <v>24.89095</v>
      </c>
      <c r="H516">
        <f t="shared" si="57"/>
        <v>1526.8140296446395</v>
      </c>
      <c r="J516">
        <v>239</v>
      </c>
      <c r="K516">
        <f t="shared" si="58"/>
        <v>0</v>
      </c>
      <c r="L516">
        <f t="shared" si="59"/>
        <v>0</v>
      </c>
    </row>
    <row r="517" spans="1:12" x14ac:dyDescent="0.6">
      <c r="A517">
        <v>516</v>
      </c>
      <c r="B517" s="1" t="s">
        <v>27</v>
      </c>
      <c r="C517" t="s">
        <v>10</v>
      </c>
      <c r="D517">
        <v>152</v>
      </c>
      <c r="F517">
        <v>130</v>
      </c>
      <c r="G517">
        <v>24.89095</v>
      </c>
      <c r="H517">
        <f t="shared" si="57"/>
        <v>885.92912831232161</v>
      </c>
      <c r="J517">
        <v>203</v>
      </c>
      <c r="K517">
        <f t="shared" si="58"/>
        <v>0</v>
      </c>
      <c r="L517">
        <f t="shared" si="59"/>
        <v>0</v>
      </c>
    </row>
    <row r="518" spans="1:12" x14ac:dyDescent="0.6">
      <c r="A518">
        <v>517</v>
      </c>
      <c r="B518" s="1" t="s">
        <v>27</v>
      </c>
      <c r="C518" t="s">
        <v>10</v>
      </c>
      <c r="D518">
        <v>152</v>
      </c>
      <c r="F518">
        <v>130</v>
      </c>
      <c r="G518">
        <v>24.89095</v>
      </c>
      <c r="H518">
        <f t="shared" si="57"/>
        <v>885.92912831232161</v>
      </c>
      <c r="J518">
        <v>202</v>
      </c>
      <c r="K518">
        <f t="shared" si="58"/>
        <v>0</v>
      </c>
      <c r="L518">
        <f t="shared" si="59"/>
        <v>0</v>
      </c>
    </row>
    <row r="519" spans="1:12" x14ac:dyDescent="0.6">
      <c r="A519">
        <v>518</v>
      </c>
      <c r="B519" s="2" t="s">
        <v>90</v>
      </c>
      <c r="C519" t="s">
        <v>7</v>
      </c>
      <c r="D519">
        <v>300</v>
      </c>
      <c r="F519">
        <v>271</v>
      </c>
      <c r="G519">
        <v>12.3</v>
      </c>
      <c r="H519">
        <f t="shared" ref="H519:H520" si="60">4*D519+2*F519</f>
        <v>1742</v>
      </c>
      <c r="J519">
        <v>1165</v>
      </c>
      <c r="K519">
        <f t="shared" si="58"/>
        <v>0</v>
      </c>
      <c r="L519">
        <f t="shared" si="59"/>
        <v>0</v>
      </c>
    </row>
    <row r="520" spans="1:12" x14ac:dyDescent="0.6">
      <c r="A520">
        <v>519</v>
      </c>
      <c r="B520" s="2" t="s">
        <v>90</v>
      </c>
      <c r="C520" t="s">
        <v>7</v>
      </c>
      <c r="D520">
        <v>300</v>
      </c>
      <c r="F520">
        <v>473</v>
      </c>
      <c r="G520">
        <v>13.05</v>
      </c>
      <c r="H520">
        <f t="shared" si="60"/>
        <v>2146</v>
      </c>
      <c r="J520">
        <v>1659</v>
      </c>
      <c r="K520">
        <f t="shared" si="58"/>
        <v>0</v>
      </c>
      <c r="L520">
        <f t="shared" si="59"/>
        <v>0</v>
      </c>
    </row>
  </sheetData>
  <autoFilter ref="A1:G520" xr:uid="{00000000-0001-0000-0000-000000000000}"/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준영 윤</cp:lastModifiedBy>
  <dcterms:created xsi:type="dcterms:W3CDTF">2025-02-04T12:35:42Z</dcterms:created>
  <dcterms:modified xsi:type="dcterms:W3CDTF">2025-09-07T11:56:14Z</dcterms:modified>
</cp:coreProperties>
</file>