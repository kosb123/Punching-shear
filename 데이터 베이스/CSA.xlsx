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y98\SynologyDrive\대학원\프로젝트\펀칭강도 예측\데이터 베이스\"/>
    </mc:Choice>
  </mc:AlternateContent>
  <xr:revisionPtr revIDLastSave="0" documentId="13_ncr:1_{64831861-CB28-4263-8EC7-D7AAD84CF026}" xr6:coauthVersionLast="47" xr6:coauthVersionMax="47" xr10:uidLastSave="{00000000-0000-0000-0000-000000000000}"/>
  <bookViews>
    <workbookView xWindow="9998" yWindow="2580" windowWidth="9892" windowHeight="9158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NEES_Database__ACI_445_Punching!$A$1:$G$520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2" i="1"/>
  <c r="O3" i="1"/>
  <c r="O4" i="1"/>
  <c r="P4" i="1" s="1"/>
  <c r="O5" i="1"/>
  <c r="O6" i="1"/>
  <c r="O7" i="1"/>
  <c r="O8" i="1"/>
  <c r="O9" i="1"/>
  <c r="O10" i="1"/>
  <c r="P10" i="1" s="1"/>
  <c r="O11" i="1"/>
  <c r="O12" i="1"/>
  <c r="P12" i="1" s="1"/>
  <c r="O13" i="1"/>
  <c r="O14" i="1"/>
  <c r="O15" i="1"/>
  <c r="O16" i="1"/>
  <c r="O17" i="1"/>
  <c r="O18" i="1"/>
  <c r="P18" i="1" s="1"/>
  <c r="O19" i="1"/>
  <c r="O20" i="1"/>
  <c r="P20" i="1" s="1"/>
  <c r="O21" i="1"/>
  <c r="O22" i="1"/>
  <c r="O23" i="1"/>
  <c r="O24" i="1"/>
  <c r="O25" i="1"/>
  <c r="O26" i="1"/>
  <c r="P26" i="1" s="1"/>
  <c r="O27" i="1"/>
  <c r="O28" i="1"/>
  <c r="P28" i="1" s="1"/>
  <c r="O29" i="1"/>
  <c r="O30" i="1"/>
  <c r="O31" i="1"/>
  <c r="O32" i="1"/>
  <c r="O33" i="1"/>
  <c r="O34" i="1"/>
  <c r="P34" i="1" s="1"/>
  <c r="O35" i="1"/>
  <c r="O36" i="1"/>
  <c r="P36" i="1" s="1"/>
  <c r="O37" i="1"/>
  <c r="O38" i="1"/>
  <c r="O39" i="1"/>
  <c r="O40" i="1"/>
  <c r="O41" i="1"/>
  <c r="O42" i="1"/>
  <c r="P42" i="1" s="1"/>
  <c r="O43" i="1"/>
  <c r="O44" i="1"/>
  <c r="P44" i="1" s="1"/>
  <c r="O45" i="1"/>
  <c r="O46" i="1"/>
  <c r="O47" i="1"/>
  <c r="O48" i="1"/>
  <c r="O49" i="1"/>
  <c r="O50" i="1"/>
  <c r="P50" i="1" s="1"/>
  <c r="O51" i="1"/>
  <c r="O52" i="1"/>
  <c r="P52" i="1" s="1"/>
  <c r="O53" i="1"/>
  <c r="O54" i="1"/>
  <c r="O55" i="1"/>
  <c r="O56" i="1"/>
  <c r="O57" i="1"/>
  <c r="O58" i="1"/>
  <c r="P58" i="1" s="1"/>
  <c r="O59" i="1"/>
  <c r="O60" i="1"/>
  <c r="P60" i="1" s="1"/>
  <c r="O61" i="1"/>
  <c r="O62" i="1"/>
  <c r="O63" i="1"/>
  <c r="O64" i="1"/>
  <c r="O65" i="1"/>
  <c r="O66" i="1"/>
  <c r="P66" i="1" s="1"/>
  <c r="O67" i="1"/>
  <c r="O68" i="1"/>
  <c r="P68" i="1" s="1"/>
  <c r="O69" i="1"/>
  <c r="O70" i="1"/>
  <c r="O71" i="1"/>
  <c r="O72" i="1"/>
  <c r="O73" i="1"/>
  <c r="O74" i="1"/>
  <c r="P74" i="1" s="1"/>
  <c r="O75" i="1"/>
  <c r="O76" i="1"/>
  <c r="P76" i="1" s="1"/>
  <c r="O77" i="1"/>
  <c r="O78" i="1"/>
  <c r="O79" i="1"/>
  <c r="O80" i="1"/>
  <c r="O81" i="1"/>
  <c r="O82" i="1"/>
  <c r="P82" i="1" s="1"/>
  <c r="O83" i="1"/>
  <c r="O84" i="1"/>
  <c r="P84" i="1" s="1"/>
  <c r="O85" i="1"/>
  <c r="O86" i="1"/>
  <c r="O87" i="1"/>
  <c r="O88" i="1"/>
  <c r="O89" i="1"/>
  <c r="O90" i="1"/>
  <c r="P90" i="1" s="1"/>
  <c r="O91" i="1"/>
  <c r="O92" i="1"/>
  <c r="P92" i="1" s="1"/>
  <c r="O93" i="1"/>
  <c r="O94" i="1"/>
  <c r="O95" i="1"/>
  <c r="O96" i="1"/>
  <c r="O97" i="1"/>
  <c r="O98" i="1"/>
  <c r="P98" i="1" s="1"/>
  <c r="O99" i="1"/>
  <c r="O100" i="1"/>
  <c r="P100" i="1" s="1"/>
  <c r="O101" i="1"/>
  <c r="O102" i="1"/>
  <c r="O103" i="1"/>
  <c r="O104" i="1"/>
  <c r="O105" i="1"/>
  <c r="O106" i="1"/>
  <c r="P106" i="1" s="1"/>
  <c r="O107" i="1"/>
  <c r="O108" i="1"/>
  <c r="P108" i="1" s="1"/>
  <c r="O109" i="1"/>
  <c r="O110" i="1"/>
  <c r="O111" i="1"/>
  <c r="O112" i="1"/>
  <c r="O113" i="1"/>
  <c r="O114" i="1"/>
  <c r="P114" i="1" s="1"/>
  <c r="O115" i="1"/>
  <c r="O116" i="1"/>
  <c r="P116" i="1" s="1"/>
  <c r="O117" i="1"/>
  <c r="O118" i="1"/>
  <c r="O119" i="1"/>
  <c r="O120" i="1"/>
  <c r="O121" i="1"/>
  <c r="O122" i="1"/>
  <c r="P122" i="1" s="1"/>
  <c r="O123" i="1"/>
  <c r="O124" i="1"/>
  <c r="P124" i="1" s="1"/>
  <c r="O125" i="1"/>
  <c r="O126" i="1"/>
  <c r="O127" i="1"/>
  <c r="O128" i="1"/>
  <c r="O129" i="1"/>
  <c r="O130" i="1"/>
  <c r="P130" i="1" s="1"/>
  <c r="O131" i="1"/>
  <c r="O132" i="1"/>
  <c r="P132" i="1" s="1"/>
  <c r="O133" i="1"/>
  <c r="O134" i="1"/>
  <c r="O135" i="1"/>
  <c r="O136" i="1"/>
  <c r="O137" i="1"/>
  <c r="O138" i="1"/>
  <c r="P138" i="1" s="1"/>
  <c r="O139" i="1"/>
  <c r="O140" i="1"/>
  <c r="P140" i="1" s="1"/>
  <c r="O141" i="1"/>
  <c r="O142" i="1"/>
  <c r="O143" i="1"/>
  <c r="O144" i="1"/>
  <c r="O145" i="1"/>
  <c r="O146" i="1"/>
  <c r="P146" i="1" s="1"/>
  <c r="O147" i="1"/>
  <c r="O148" i="1"/>
  <c r="P148" i="1" s="1"/>
  <c r="O149" i="1"/>
  <c r="O150" i="1"/>
  <c r="O151" i="1"/>
  <c r="O152" i="1"/>
  <c r="O153" i="1"/>
  <c r="O154" i="1"/>
  <c r="P154" i="1" s="1"/>
  <c r="O155" i="1"/>
  <c r="O156" i="1"/>
  <c r="P156" i="1" s="1"/>
  <c r="O157" i="1"/>
  <c r="O158" i="1"/>
  <c r="O159" i="1"/>
  <c r="O160" i="1"/>
  <c r="O161" i="1"/>
  <c r="O162" i="1"/>
  <c r="P162" i="1" s="1"/>
  <c r="O163" i="1"/>
  <c r="O164" i="1"/>
  <c r="P164" i="1" s="1"/>
  <c r="O165" i="1"/>
  <c r="O166" i="1"/>
  <c r="O167" i="1"/>
  <c r="O168" i="1"/>
  <c r="O169" i="1"/>
  <c r="O170" i="1"/>
  <c r="P170" i="1" s="1"/>
  <c r="O171" i="1"/>
  <c r="O172" i="1"/>
  <c r="P172" i="1" s="1"/>
  <c r="O173" i="1"/>
  <c r="O174" i="1"/>
  <c r="O175" i="1"/>
  <c r="O176" i="1"/>
  <c r="O177" i="1"/>
  <c r="O178" i="1"/>
  <c r="P178" i="1" s="1"/>
  <c r="O179" i="1"/>
  <c r="O180" i="1"/>
  <c r="P180" i="1" s="1"/>
  <c r="O181" i="1"/>
  <c r="O182" i="1"/>
  <c r="O183" i="1"/>
  <c r="O184" i="1"/>
  <c r="O185" i="1"/>
  <c r="O186" i="1"/>
  <c r="P186" i="1" s="1"/>
  <c r="O187" i="1"/>
  <c r="O188" i="1"/>
  <c r="P188" i="1" s="1"/>
  <c r="O189" i="1"/>
  <c r="O190" i="1"/>
  <c r="O191" i="1"/>
  <c r="O192" i="1"/>
  <c r="O193" i="1"/>
  <c r="O194" i="1"/>
  <c r="P194" i="1" s="1"/>
  <c r="O195" i="1"/>
  <c r="O196" i="1"/>
  <c r="P196" i="1" s="1"/>
  <c r="O197" i="1"/>
  <c r="O198" i="1"/>
  <c r="O199" i="1"/>
  <c r="O200" i="1"/>
  <c r="O201" i="1"/>
  <c r="O202" i="1"/>
  <c r="P202" i="1" s="1"/>
  <c r="O203" i="1"/>
  <c r="O204" i="1"/>
  <c r="P204" i="1" s="1"/>
  <c r="O205" i="1"/>
  <c r="O206" i="1"/>
  <c r="O207" i="1"/>
  <c r="O208" i="1"/>
  <c r="O209" i="1"/>
  <c r="O210" i="1"/>
  <c r="P210" i="1" s="1"/>
  <c r="O211" i="1"/>
  <c r="O212" i="1"/>
  <c r="P212" i="1" s="1"/>
  <c r="O213" i="1"/>
  <c r="O214" i="1"/>
  <c r="O215" i="1"/>
  <c r="O216" i="1"/>
  <c r="O217" i="1"/>
  <c r="O218" i="1"/>
  <c r="P218" i="1" s="1"/>
  <c r="O219" i="1"/>
  <c r="O220" i="1"/>
  <c r="P220" i="1" s="1"/>
  <c r="O221" i="1"/>
  <c r="O222" i="1"/>
  <c r="O223" i="1"/>
  <c r="O224" i="1"/>
  <c r="O225" i="1"/>
  <c r="O226" i="1"/>
  <c r="P226" i="1" s="1"/>
  <c r="O227" i="1"/>
  <c r="O228" i="1"/>
  <c r="P228" i="1" s="1"/>
  <c r="O229" i="1"/>
  <c r="O230" i="1"/>
  <c r="O231" i="1"/>
  <c r="O232" i="1"/>
  <c r="O233" i="1"/>
  <c r="O234" i="1"/>
  <c r="P234" i="1" s="1"/>
  <c r="O235" i="1"/>
  <c r="O236" i="1"/>
  <c r="P236" i="1" s="1"/>
  <c r="O237" i="1"/>
  <c r="O238" i="1"/>
  <c r="O239" i="1"/>
  <c r="O240" i="1"/>
  <c r="O241" i="1"/>
  <c r="O242" i="1"/>
  <c r="P242" i="1" s="1"/>
  <c r="O243" i="1"/>
  <c r="O244" i="1"/>
  <c r="P244" i="1" s="1"/>
  <c r="O245" i="1"/>
  <c r="O246" i="1"/>
  <c r="O247" i="1"/>
  <c r="O248" i="1"/>
  <c r="O249" i="1"/>
  <c r="O250" i="1"/>
  <c r="P250" i="1" s="1"/>
  <c r="O251" i="1"/>
  <c r="O252" i="1"/>
  <c r="P252" i="1" s="1"/>
  <c r="O253" i="1"/>
  <c r="O254" i="1"/>
  <c r="O255" i="1"/>
  <c r="O256" i="1"/>
  <c r="O257" i="1"/>
  <c r="O258" i="1"/>
  <c r="P258" i="1" s="1"/>
  <c r="O259" i="1"/>
  <c r="O260" i="1"/>
  <c r="P260" i="1" s="1"/>
  <c r="O261" i="1"/>
  <c r="O262" i="1"/>
  <c r="O263" i="1"/>
  <c r="O264" i="1"/>
  <c r="O265" i="1"/>
  <c r="O266" i="1"/>
  <c r="P266" i="1" s="1"/>
  <c r="O267" i="1"/>
  <c r="O268" i="1"/>
  <c r="P268" i="1" s="1"/>
  <c r="O269" i="1"/>
  <c r="O270" i="1"/>
  <c r="O271" i="1"/>
  <c r="O272" i="1"/>
  <c r="O273" i="1"/>
  <c r="O274" i="1"/>
  <c r="P274" i="1" s="1"/>
  <c r="O275" i="1"/>
  <c r="O276" i="1"/>
  <c r="P276" i="1" s="1"/>
  <c r="O277" i="1"/>
  <c r="O278" i="1"/>
  <c r="O279" i="1"/>
  <c r="O280" i="1"/>
  <c r="O281" i="1"/>
  <c r="O282" i="1"/>
  <c r="P282" i="1" s="1"/>
  <c r="O283" i="1"/>
  <c r="O284" i="1"/>
  <c r="P284" i="1" s="1"/>
  <c r="O285" i="1"/>
  <c r="O286" i="1"/>
  <c r="O287" i="1"/>
  <c r="O288" i="1"/>
  <c r="O289" i="1"/>
  <c r="O290" i="1"/>
  <c r="P290" i="1" s="1"/>
  <c r="O291" i="1"/>
  <c r="O292" i="1"/>
  <c r="P292" i="1" s="1"/>
  <c r="O293" i="1"/>
  <c r="O294" i="1"/>
  <c r="O295" i="1"/>
  <c r="O296" i="1"/>
  <c r="O297" i="1"/>
  <c r="O298" i="1"/>
  <c r="P298" i="1" s="1"/>
  <c r="O299" i="1"/>
  <c r="O300" i="1"/>
  <c r="P300" i="1" s="1"/>
  <c r="O301" i="1"/>
  <c r="O302" i="1"/>
  <c r="O303" i="1"/>
  <c r="O304" i="1"/>
  <c r="O305" i="1"/>
  <c r="O306" i="1"/>
  <c r="P306" i="1" s="1"/>
  <c r="O307" i="1"/>
  <c r="O308" i="1"/>
  <c r="P308" i="1" s="1"/>
  <c r="O309" i="1"/>
  <c r="O310" i="1"/>
  <c r="O311" i="1"/>
  <c r="O312" i="1"/>
  <c r="O313" i="1"/>
  <c r="O314" i="1"/>
  <c r="P314" i="1" s="1"/>
  <c r="O315" i="1"/>
  <c r="O316" i="1"/>
  <c r="P316" i="1" s="1"/>
  <c r="O317" i="1"/>
  <c r="O318" i="1"/>
  <c r="O319" i="1"/>
  <c r="O320" i="1"/>
  <c r="O321" i="1"/>
  <c r="O322" i="1"/>
  <c r="P322" i="1" s="1"/>
  <c r="O323" i="1"/>
  <c r="O324" i="1"/>
  <c r="P324" i="1" s="1"/>
  <c r="O325" i="1"/>
  <c r="O326" i="1"/>
  <c r="O327" i="1"/>
  <c r="O328" i="1"/>
  <c r="O329" i="1"/>
  <c r="O330" i="1"/>
  <c r="P330" i="1" s="1"/>
  <c r="O331" i="1"/>
  <c r="O332" i="1"/>
  <c r="P332" i="1" s="1"/>
  <c r="O333" i="1"/>
  <c r="O334" i="1"/>
  <c r="O335" i="1"/>
  <c r="O336" i="1"/>
  <c r="O337" i="1"/>
  <c r="O338" i="1"/>
  <c r="P338" i="1" s="1"/>
  <c r="O339" i="1"/>
  <c r="O340" i="1"/>
  <c r="P340" i="1" s="1"/>
  <c r="O341" i="1"/>
  <c r="O342" i="1"/>
  <c r="O343" i="1"/>
  <c r="O344" i="1"/>
  <c r="O345" i="1"/>
  <c r="O346" i="1"/>
  <c r="P346" i="1" s="1"/>
  <c r="O347" i="1"/>
  <c r="O348" i="1"/>
  <c r="P348" i="1" s="1"/>
  <c r="O349" i="1"/>
  <c r="O350" i="1"/>
  <c r="O351" i="1"/>
  <c r="O352" i="1"/>
  <c r="O353" i="1"/>
  <c r="O354" i="1"/>
  <c r="P354" i="1" s="1"/>
  <c r="O355" i="1"/>
  <c r="O356" i="1"/>
  <c r="P356" i="1" s="1"/>
  <c r="O357" i="1"/>
  <c r="O358" i="1"/>
  <c r="O359" i="1"/>
  <c r="O360" i="1"/>
  <c r="O361" i="1"/>
  <c r="O362" i="1"/>
  <c r="P362" i="1" s="1"/>
  <c r="O363" i="1"/>
  <c r="O364" i="1"/>
  <c r="P364" i="1" s="1"/>
  <c r="O365" i="1"/>
  <c r="O366" i="1"/>
  <c r="O367" i="1"/>
  <c r="O368" i="1"/>
  <c r="O369" i="1"/>
  <c r="O370" i="1"/>
  <c r="P370" i="1" s="1"/>
  <c r="O371" i="1"/>
  <c r="O372" i="1"/>
  <c r="P372" i="1" s="1"/>
  <c r="O373" i="1"/>
  <c r="O374" i="1"/>
  <c r="O375" i="1"/>
  <c r="O376" i="1"/>
  <c r="O377" i="1"/>
  <c r="O378" i="1"/>
  <c r="P378" i="1" s="1"/>
  <c r="O379" i="1"/>
  <c r="O380" i="1"/>
  <c r="P380" i="1" s="1"/>
  <c r="O381" i="1"/>
  <c r="O382" i="1"/>
  <c r="O383" i="1"/>
  <c r="O384" i="1"/>
  <c r="O385" i="1"/>
  <c r="O386" i="1"/>
  <c r="P386" i="1" s="1"/>
  <c r="O387" i="1"/>
  <c r="O388" i="1"/>
  <c r="P388" i="1" s="1"/>
  <c r="O389" i="1"/>
  <c r="O390" i="1"/>
  <c r="O391" i="1"/>
  <c r="O392" i="1"/>
  <c r="O393" i="1"/>
  <c r="O394" i="1"/>
  <c r="P394" i="1" s="1"/>
  <c r="O395" i="1"/>
  <c r="O396" i="1"/>
  <c r="P396" i="1" s="1"/>
  <c r="O397" i="1"/>
  <c r="O398" i="1"/>
  <c r="O399" i="1"/>
  <c r="O400" i="1"/>
  <c r="O401" i="1"/>
  <c r="O402" i="1"/>
  <c r="P402" i="1" s="1"/>
  <c r="O403" i="1"/>
  <c r="O404" i="1"/>
  <c r="P404" i="1" s="1"/>
  <c r="O405" i="1"/>
  <c r="O406" i="1"/>
  <c r="O407" i="1"/>
  <c r="O408" i="1"/>
  <c r="O409" i="1"/>
  <c r="O410" i="1"/>
  <c r="P410" i="1" s="1"/>
  <c r="O411" i="1"/>
  <c r="O412" i="1"/>
  <c r="P412" i="1" s="1"/>
  <c r="O413" i="1"/>
  <c r="O414" i="1"/>
  <c r="O415" i="1"/>
  <c r="O416" i="1"/>
  <c r="O417" i="1"/>
  <c r="O418" i="1"/>
  <c r="P418" i="1" s="1"/>
  <c r="O419" i="1"/>
  <c r="O420" i="1"/>
  <c r="P420" i="1" s="1"/>
  <c r="O421" i="1"/>
  <c r="O422" i="1"/>
  <c r="O423" i="1"/>
  <c r="O424" i="1"/>
  <c r="O425" i="1"/>
  <c r="O426" i="1"/>
  <c r="P426" i="1" s="1"/>
  <c r="O427" i="1"/>
  <c r="O428" i="1"/>
  <c r="P428" i="1" s="1"/>
  <c r="O429" i="1"/>
  <c r="O430" i="1"/>
  <c r="O431" i="1"/>
  <c r="O432" i="1"/>
  <c r="O433" i="1"/>
  <c r="O434" i="1"/>
  <c r="P434" i="1" s="1"/>
  <c r="O435" i="1"/>
  <c r="O436" i="1"/>
  <c r="P436" i="1" s="1"/>
  <c r="O437" i="1"/>
  <c r="O438" i="1"/>
  <c r="O439" i="1"/>
  <c r="O440" i="1"/>
  <c r="O441" i="1"/>
  <c r="O442" i="1"/>
  <c r="P442" i="1" s="1"/>
  <c r="O443" i="1"/>
  <c r="O444" i="1"/>
  <c r="P444" i="1" s="1"/>
  <c r="O445" i="1"/>
  <c r="O446" i="1"/>
  <c r="O447" i="1"/>
  <c r="O448" i="1"/>
  <c r="O449" i="1"/>
  <c r="O450" i="1"/>
  <c r="P450" i="1" s="1"/>
  <c r="O451" i="1"/>
  <c r="O452" i="1"/>
  <c r="P452" i="1" s="1"/>
  <c r="O453" i="1"/>
  <c r="O454" i="1"/>
  <c r="O455" i="1"/>
  <c r="O456" i="1"/>
  <c r="O457" i="1"/>
  <c r="O458" i="1"/>
  <c r="P458" i="1" s="1"/>
  <c r="O459" i="1"/>
  <c r="O460" i="1"/>
  <c r="P460" i="1" s="1"/>
  <c r="O461" i="1"/>
  <c r="O462" i="1"/>
  <c r="O463" i="1"/>
  <c r="O464" i="1"/>
  <c r="O465" i="1"/>
  <c r="O466" i="1"/>
  <c r="P466" i="1" s="1"/>
  <c r="O467" i="1"/>
  <c r="O468" i="1"/>
  <c r="P468" i="1" s="1"/>
  <c r="O469" i="1"/>
  <c r="O470" i="1"/>
  <c r="O471" i="1"/>
  <c r="O472" i="1"/>
  <c r="O473" i="1"/>
  <c r="O474" i="1"/>
  <c r="P474" i="1" s="1"/>
  <c r="O475" i="1"/>
  <c r="O476" i="1"/>
  <c r="P476" i="1" s="1"/>
  <c r="O477" i="1"/>
  <c r="O478" i="1"/>
  <c r="O479" i="1"/>
  <c r="O480" i="1"/>
  <c r="O481" i="1"/>
  <c r="O482" i="1"/>
  <c r="P482" i="1" s="1"/>
  <c r="O483" i="1"/>
  <c r="O484" i="1"/>
  <c r="P484" i="1" s="1"/>
  <c r="O485" i="1"/>
  <c r="O486" i="1"/>
  <c r="O487" i="1"/>
  <c r="O488" i="1"/>
  <c r="O489" i="1"/>
  <c r="O490" i="1"/>
  <c r="P490" i="1" s="1"/>
  <c r="O491" i="1"/>
  <c r="O492" i="1"/>
  <c r="P492" i="1" s="1"/>
  <c r="O493" i="1"/>
  <c r="O494" i="1"/>
  <c r="O495" i="1"/>
  <c r="O496" i="1"/>
  <c r="O497" i="1"/>
  <c r="O498" i="1"/>
  <c r="P498" i="1" s="1"/>
  <c r="O499" i="1"/>
  <c r="O500" i="1"/>
  <c r="P500" i="1" s="1"/>
  <c r="O501" i="1"/>
  <c r="O502" i="1"/>
  <c r="O503" i="1"/>
  <c r="O504" i="1"/>
  <c r="O505" i="1"/>
  <c r="O506" i="1"/>
  <c r="P506" i="1" s="1"/>
  <c r="O507" i="1"/>
  <c r="O508" i="1"/>
  <c r="P508" i="1" s="1"/>
  <c r="O509" i="1"/>
  <c r="O510" i="1"/>
  <c r="O511" i="1"/>
  <c r="O512" i="1"/>
  <c r="O513" i="1"/>
  <c r="O514" i="1"/>
  <c r="O515" i="1"/>
  <c r="O516" i="1"/>
  <c r="P516" i="1" s="1"/>
  <c r="O517" i="1"/>
  <c r="O518" i="1"/>
  <c r="O519" i="1"/>
  <c r="O520" i="1"/>
  <c r="O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P3" i="1"/>
  <c r="P5" i="1"/>
  <c r="P6" i="1"/>
  <c r="P7" i="1"/>
  <c r="P8" i="1"/>
  <c r="P9" i="1"/>
  <c r="P11" i="1"/>
  <c r="P13" i="1"/>
  <c r="P14" i="1"/>
  <c r="P15" i="1"/>
  <c r="P16" i="1"/>
  <c r="P17" i="1"/>
  <c r="P19" i="1"/>
  <c r="P21" i="1"/>
  <c r="P22" i="1"/>
  <c r="P23" i="1"/>
  <c r="P24" i="1"/>
  <c r="P25" i="1"/>
  <c r="P27" i="1"/>
  <c r="P29" i="1"/>
  <c r="P30" i="1"/>
  <c r="P31" i="1"/>
  <c r="P32" i="1"/>
  <c r="P33" i="1"/>
  <c r="P35" i="1"/>
  <c r="P37" i="1"/>
  <c r="P38" i="1"/>
  <c r="P39" i="1"/>
  <c r="P40" i="1"/>
  <c r="P41" i="1"/>
  <c r="P43" i="1"/>
  <c r="P45" i="1"/>
  <c r="P46" i="1"/>
  <c r="P47" i="1"/>
  <c r="P48" i="1"/>
  <c r="P49" i="1"/>
  <c r="P51" i="1"/>
  <c r="P53" i="1"/>
  <c r="P54" i="1"/>
  <c r="P55" i="1"/>
  <c r="P56" i="1"/>
  <c r="P57" i="1"/>
  <c r="P59" i="1"/>
  <c r="P61" i="1"/>
  <c r="P62" i="1"/>
  <c r="P63" i="1"/>
  <c r="P64" i="1"/>
  <c r="P65" i="1"/>
  <c r="P67" i="1"/>
  <c r="P69" i="1"/>
  <c r="P70" i="1"/>
  <c r="P71" i="1"/>
  <c r="P72" i="1"/>
  <c r="P73" i="1"/>
  <c r="P75" i="1"/>
  <c r="P77" i="1"/>
  <c r="P78" i="1"/>
  <c r="P79" i="1"/>
  <c r="P80" i="1"/>
  <c r="P81" i="1"/>
  <c r="P83" i="1"/>
  <c r="P85" i="1"/>
  <c r="P86" i="1"/>
  <c r="P87" i="1"/>
  <c r="P88" i="1"/>
  <c r="P89" i="1"/>
  <c r="P91" i="1"/>
  <c r="P93" i="1"/>
  <c r="P94" i="1"/>
  <c r="P95" i="1"/>
  <c r="P96" i="1"/>
  <c r="P97" i="1"/>
  <c r="P99" i="1"/>
  <c r="P101" i="1"/>
  <c r="P102" i="1"/>
  <c r="P103" i="1"/>
  <c r="P104" i="1"/>
  <c r="P105" i="1"/>
  <c r="P107" i="1"/>
  <c r="P109" i="1"/>
  <c r="P110" i="1"/>
  <c r="P111" i="1"/>
  <c r="P112" i="1"/>
  <c r="P113" i="1"/>
  <c r="P115" i="1"/>
  <c r="P117" i="1"/>
  <c r="P118" i="1"/>
  <c r="P119" i="1"/>
  <c r="P120" i="1"/>
  <c r="P121" i="1"/>
  <c r="P123" i="1"/>
  <c r="P125" i="1"/>
  <c r="P126" i="1"/>
  <c r="P127" i="1"/>
  <c r="P128" i="1"/>
  <c r="P129" i="1"/>
  <c r="P131" i="1"/>
  <c r="P133" i="1"/>
  <c r="P134" i="1"/>
  <c r="P135" i="1"/>
  <c r="P136" i="1"/>
  <c r="P137" i="1"/>
  <c r="P139" i="1"/>
  <c r="P141" i="1"/>
  <c r="P142" i="1"/>
  <c r="P143" i="1"/>
  <c r="P144" i="1"/>
  <c r="P145" i="1"/>
  <c r="P147" i="1"/>
  <c r="P149" i="1"/>
  <c r="P150" i="1"/>
  <c r="P151" i="1"/>
  <c r="P152" i="1"/>
  <c r="P153" i="1"/>
  <c r="P155" i="1"/>
  <c r="P157" i="1"/>
  <c r="P158" i="1"/>
  <c r="P159" i="1"/>
  <c r="P160" i="1"/>
  <c r="P161" i="1"/>
  <c r="P163" i="1"/>
  <c r="P165" i="1"/>
  <c r="P166" i="1"/>
  <c r="P167" i="1"/>
  <c r="P168" i="1"/>
  <c r="P169" i="1"/>
  <c r="P171" i="1"/>
  <c r="P173" i="1"/>
  <c r="P174" i="1"/>
  <c r="P175" i="1"/>
  <c r="P176" i="1"/>
  <c r="P177" i="1"/>
  <c r="P179" i="1"/>
  <c r="P181" i="1"/>
  <c r="P182" i="1"/>
  <c r="P183" i="1"/>
  <c r="P184" i="1"/>
  <c r="P185" i="1"/>
  <c r="P187" i="1"/>
  <c r="P189" i="1"/>
  <c r="P190" i="1"/>
  <c r="P191" i="1"/>
  <c r="P192" i="1"/>
  <c r="P193" i="1"/>
  <c r="P195" i="1"/>
  <c r="P197" i="1"/>
  <c r="P198" i="1"/>
  <c r="P199" i="1"/>
  <c r="P200" i="1"/>
  <c r="P201" i="1"/>
  <c r="P203" i="1"/>
  <c r="P205" i="1"/>
  <c r="P206" i="1"/>
  <c r="P207" i="1"/>
  <c r="P208" i="1"/>
  <c r="P209" i="1"/>
  <c r="P211" i="1"/>
  <c r="P213" i="1"/>
  <c r="P214" i="1"/>
  <c r="P215" i="1"/>
  <c r="P216" i="1"/>
  <c r="P217" i="1"/>
  <c r="P219" i="1"/>
  <c r="P221" i="1"/>
  <c r="P222" i="1"/>
  <c r="P223" i="1"/>
  <c r="P224" i="1"/>
  <c r="P225" i="1"/>
  <c r="P227" i="1"/>
  <c r="P229" i="1"/>
  <c r="P230" i="1"/>
  <c r="P231" i="1"/>
  <c r="P232" i="1"/>
  <c r="P233" i="1"/>
  <c r="P235" i="1"/>
  <c r="P237" i="1"/>
  <c r="P238" i="1"/>
  <c r="P239" i="1"/>
  <c r="P240" i="1"/>
  <c r="P241" i="1"/>
  <c r="P243" i="1"/>
  <c r="P245" i="1"/>
  <c r="P246" i="1"/>
  <c r="P247" i="1"/>
  <c r="P248" i="1"/>
  <c r="P249" i="1"/>
  <c r="P251" i="1"/>
  <c r="P253" i="1"/>
  <c r="P254" i="1"/>
  <c r="P255" i="1"/>
  <c r="P256" i="1"/>
  <c r="P257" i="1"/>
  <c r="P259" i="1"/>
  <c r="P261" i="1"/>
  <c r="P262" i="1"/>
  <c r="P263" i="1"/>
  <c r="P264" i="1"/>
  <c r="P265" i="1"/>
  <c r="P267" i="1"/>
  <c r="P269" i="1"/>
  <c r="P270" i="1"/>
  <c r="P271" i="1"/>
  <c r="P272" i="1"/>
  <c r="P273" i="1"/>
  <c r="P275" i="1"/>
  <c r="P277" i="1"/>
  <c r="P278" i="1"/>
  <c r="P279" i="1"/>
  <c r="P280" i="1"/>
  <c r="P281" i="1"/>
  <c r="P283" i="1"/>
  <c r="P285" i="1"/>
  <c r="P286" i="1"/>
  <c r="P287" i="1"/>
  <c r="P288" i="1"/>
  <c r="P289" i="1"/>
  <c r="P291" i="1"/>
  <c r="P293" i="1"/>
  <c r="P294" i="1"/>
  <c r="P295" i="1"/>
  <c r="P296" i="1"/>
  <c r="P297" i="1"/>
  <c r="P299" i="1"/>
  <c r="P301" i="1"/>
  <c r="P302" i="1"/>
  <c r="P303" i="1"/>
  <c r="P304" i="1"/>
  <c r="P305" i="1"/>
  <c r="P307" i="1"/>
  <c r="P309" i="1"/>
  <c r="P310" i="1"/>
  <c r="P311" i="1"/>
  <c r="P312" i="1"/>
  <c r="P313" i="1"/>
  <c r="P315" i="1"/>
  <c r="P317" i="1"/>
  <c r="P318" i="1"/>
  <c r="P319" i="1"/>
  <c r="P320" i="1"/>
  <c r="P321" i="1"/>
  <c r="P323" i="1"/>
  <c r="P325" i="1"/>
  <c r="P326" i="1"/>
  <c r="P327" i="1"/>
  <c r="P328" i="1"/>
  <c r="P329" i="1"/>
  <c r="P331" i="1"/>
  <c r="P333" i="1"/>
  <c r="P334" i="1"/>
  <c r="P335" i="1"/>
  <c r="P336" i="1"/>
  <c r="P337" i="1"/>
  <c r="P339" i="1"/>
  <c r="P341" i="1"/>
  <c r="P342" i="1"/>
  <c r="P343" i="1"/>
  <c r="P344" i="1"/>
  <c r="P345" i="1"/>
  <c r="P347" i="1"/>
  <c r="P349" i="1"/>
  <c r="P350" i="1"/>
  <c r="P351" i="1"/>
  <c r="P352" i="1"/>
  <c r="P353" i="1"/>
  <c r="P355" i="1"/>
  <c r="P357" i="1"/>
  <c r="P358" i="1"/>
  <c r="P359" i="1"/>
  <c r="P360" i="1"/>
  <c r="P361" i="1"/>
  <c r="P363" i="1"/>
  <c r="P365" i="1"/>
  <c r="P366" i="1"/>
  <c r="P367" i="1"/>
  <c r="P368" i="1"/>
  <c r="P369" i="1"/>
  <c r="P371" i="1"/>
  <c r="P373" i="1"/>
  <c r="P374" i="1"/>
  <c r="P375" i="1"/>
  <c r="P376" i="1"/>
  <c r="P377" i="1"/>
  <c r="P379" i="1"/>
  <c r="P381" i="1"/>
  <c r="P382" i="1"/>
  <c r="P383" i="1"/>
  <c r="P384" i="1"/>
  <c r="P385" i="1"/>
  <c r="P387" i="1"/>
  <c r="P389" i="1"/>
  <c r="P390" i="1"/>
  <c r="P391" i="1"/>
  <c r="P392" i="1"/>
  <c r="P393" i="1"/>
  <c r="P395" i="1"/>
  <c r="P397" i="1"/>
  <c r="P398" i="1"/>
  <c r="P399" i="1"/>
  <c r="P400" i="1"/>
  <c r="P401" i="1"/>
  <c r="P403" i="1"/>
  <c r="P405" i="1"/>
  <c r="P406" i="1"/>
  <c r="P407" i="1"/>
  <c r="P408" i="1"/>
  <c r="P409" i="1"/>
  <c r="P411" i="1"/>
  <c r="P413" i="1"/>
  <c r="P414" i="1"/>
  <c r="P415" i="1"/>
  <c r="P416" i="1"/>
  <c r="P417" i="1"/>
  <c r="P419" i="1"/>
  <c r="P421" i="1"/>
  <c r="P422" i="1"/>
  <c r="P423" i="1"/>
  <c r="P424" i="1"/>
  <c r="P425" i="1"/>
  <c r="P427" i="1"/>
  <c r="P429" i="1"/>
  <c r="P430" i="1"/>
  <c r="P431" i="1"/>
  <c r="P432" i="1"/>
  <c r="P433" i="1"/>
  <c r="P435" i="1"/>
  <c r="P437" i="1"/>
  <c r="P438" i="1"/>
  <c r="P439" i="1"/>
  <c r="P440" i="1"/>
  <c r="P441" i="1"/>
  <c r="P443" i="1"/>
  <c r="P445" i="1"/>
  <c r="P446" i="1"/>
  <c r="P447" i="1"/>
  <c r="P448" i="1"/>
  <c r="P449" i="1"/>
  <c r="P451" i="1"/>
  <c r="P453" i="1"/>
  <c r="P454" i="1"/>
  <c r="P455" i="1"/>
  <c r="P456" i="1"/>
  <c r="P457" i="1"/>
  <c r="P459" i="1"/>
  <c r="P461" i="1"/>
  <c r="P462" i="1"/>
  <c r="P463" i="1"/>
  <c r="P464" i="1"/>
  <c r="P465" i="1"/>
  <c r="P467" i="1"/>
  <c r="P469" i="1"/>
  <c r="P470" i="1"/>
  <c r="P471" i="1"/>
  <c r="P472" i="1"/>
  <c r="P473" i="1"/>
  <c r="P475" i="1"/>
  <c r="P477" i="1"/>
  <c r="P478" i="1"/>
  <c r="P479" i="1"/>
  <c r="P480" i="1"/>
  <c r="P481" i="1"/>
  <c r="P483" i="1"/>
  <c r="P485" i="1"/>
  <c r="P486" i="1"/>
  <c r="P487" i="1"/>
  <c r="P488" i="1"/>
  <c r="P489" i="1"/>
  <c r="P491" i="1"/>
  <c r="P493" i="1"/>
  <c r="P494" i="1"/>
  <c r="P495" i="1"/>
  <c r="P496" i="1"/>
  <c r="P497" i="1"/>
  <c r="P499" i="1"/>
  <c r="P501" i="1"/>
  <c r="P502" i="1"/>
  <c r="P503" i="1"/>
  <c r="P504" i="1"/>
  <c r="P505" i="1"/>
  <c r="P507" i="1"/>
  <c r="P509" i="1"/>
  <c r="P510" i="1"/>
  <c r="P511" i="1"/>
  <c r="P512" i="1"/>
  <c r="P513" i="1"/>
  <c r="P514" i="1"/>
  <c r="P515" i="1"/>
  <c r="P517" i="1"/>
  <c r="P518" i="1"/>
  <c r="P519" i="1"/>
  <c r="P520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469" i="1"/>
  <c r="L443" i="1"/>
  <c r="L419" i="1"/>
  <c r="L346" i="1"/>
  <c r="L345" i="1"/>
  <c r="L344" i="1"/>
  <c r="L133" i="1"/>
  <c r="L132" i="1"/>
  <c r="L131" i="1"/>
  <c r="L129" i="1"/>
  <c r="L128" i="1"/>
  <c r="L127" i="1"/>
  <c r="L126" i="1"/>
  <c r="L125" i="1"/>
  <c r="L124" i="1"/>
  <c r="L46" i="1"/>
  <c r="L45" i="1"/>
  <c r="L44" i="1"/>
  <c r="L43" i="1"/>
  <c r="L42" i="1"/>
  <c r="L41" i="1"/>
  <c r="L40" i="1"/>
  <c r="L39" i="1"/>
  <c r="L38" i="1"/>
  <c r="L37" i="1"/>
  <c r="L36" i="1"/>
  <c r="L3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2" i="1"/>
</calcChain>
</file>

<file path=xl/sharedStrings.xml><?xml version="1.0" encoding="utf-8"?>
<sst xmlns="http://schemas.openxmlformats.org/spreadsheetml/2006/main" count="1055" uniqueCount="105">
  <si>
    <t>TestID</t>
  </si>
  <si>
    <t>Authors</t>
  </si>
  <si>
    <t>Shape</t>
  </si>
  <si>
    <t>b1 [mm]</t>
  </si>
  <si>
    <t>d1 [mm]</t>
  </si>
  <si>
    <t>davg [(mm)]</t>
  </si>
  <si>
    <t>f1c [(MPa)]</t>
  </si>
  <si>
    <t>S</t>
  </si>
  <si>
    <t>[Bayrak &amp; Jirsa. 2009]</t>
  </si>
  <si>
    <t>[Ozden et al. 2006]</t>
  </si>
  <si>
    <t>C</t>
  </si>
  <si>
    <t>[Birkle 2004]</t>
  </si>
  <si>
    <t>R</t>
  </si>
  <si>
    <t>Ozawa et al</t>
  </si>
  <si>
    <t>Banthia et al</t>
  </si>
  <si>
    <t>Lunt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</si>
  <si>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</si>
  <si>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</si>
  <si>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</si>
  <si>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</si>
  <si>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</si>
  <si>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</si>
  <si>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</si>
  <si>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</si>
  <si>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</si>
  <si>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</si>
  <si>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</si>
  <si>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</si>
  <si>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</si>
  <si>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</si>
  <si>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</si>
  <si>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</si>
  <si>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</si>
  <si>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</si>
  <si>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</si>
  <si>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</si>
  <si>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</si>
  <si>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</si>
  <si>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</si>
  <si>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</si>
  <si>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</si>
  <si>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</si>
  <si>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</si>
  <si>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</si>
  <si>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</si>
  <si>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</si>
  <si>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</si>
  <si>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</si>
  <si>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</si>
  <si>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</si>
  <si>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</si>
  <si>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</si>
  <si>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</si>
  <si>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</si>
  <si>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</si>
  <si>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</si>
  <si>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</si>
  <si>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</si>
  <si>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</si>
  <si>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</si>
  <si>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</si>
  <si>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</si>
  <si>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</si>
  <si>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</si>
  <si>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</si>
  <si>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</si>
  <si>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</si>
  <si>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</si>
  <si>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</si>
  <si>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</si>
  <si>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</si>
  <si>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</si>
  <si>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</si>
  <si>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</si>
  <si>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</si>
  <si>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</si>
  <si>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</si>
  <si>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</si>
  <si>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[Vanderbilt, 1972]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</si>
  <si>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</si>
  <si>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</si>
  <si>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</si>
  <si>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</si>
  <si>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</si>
  <si>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</si>
  <si>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</si>
  <si>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</si>
  <si>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</si>
  <si>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</si>
  <si>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</si>
  <si>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</si>
  <si>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</si>
  <si>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</si>
  <si>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</si>
  <si>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</si>
  <si>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b0</t>
  </si>
  <si>
    <t>a</t>
    <phoneticPr fontId="18" type="noConversion"/>
  </si>
  <si>
    <t>b</t>
    <phoneticPr fontId="18" type="noConversion"/>
  </si>
  <si>
    <t>c</t>
    <phoneticPr fontId="18" type="noConversion"/>
  </si>
  <si>
    <t>min</t>
    <phoneticPr fontId="18" type="noConversion"/>
  </si>
  <si>
    <t>Vc</t>
    <phoneticPr fontId="18" type="noConversion"/>
  </si>
  <si>
    <t>lams</t>
    <phoneticPr fontId="18" type="noConversion"/>
  </si>
  <si>
    <t>lam</t>
    <phoneticPr fontId="18" type="noConversion"/>
  </si>
  <si>
    <t>beta</t>
    <phoneticPr fontId="18" type="noConversion"/>
  </si>
  <si>
    <t>Pu [kN]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</si>
</sst>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0"/>
  <sheetViews>
    <sheetView tabSelected="1" workbookViewId="0">
      <pane xSplit="2" ySplit="1" topLeftCell="O2" activePane="bottomRight" state="frozen"/>
      <selection pane="topRight" activeCell="F1" sqref="F1"/>
      <selection pane="bottomLeft" activeCell="A3" sqref="A3"/>
      <selection pane="bottomRight" activeCell="R6" sqref="R6"/>
    </sheetView>
  </sheetViews>
  <sheetFormatPr defaultRowHeight="16.899999999999999" x14ac:dyDescent="0.6"/>
  <cols>
    <col min="17" max="17" width="11.625" bestFit="1" customWidth="1"/>
  </cols>
  <sheetData>
    <row r="1" spans="1:1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</v>
      </c>
      <c r="I1" t="s">
        <v>104</v>
      </c>
      <c r="J1" t="s">
        <v>101</v>
      </c>
      <c r="K1" t="s">
        <v>102</v>
      </c>
      <c r="L1" t="s">
        <v>103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</row>
    <row r="2" spans="1:17" x14ac:dyDescent="0.6">
      <c r="A2">
        <v>1</v>
      </c>
      <c r="B2" s="1" t="s">
        <v>46</v>
      </c>
      <c r="C2" t="s">
        <v>7</v>
      </c>
      <c r="D2">
        <v>152</v>
      </c>
      <c r="F2">
        <v>165.1</v>
      </c>
      <c r="G2">
        <v>42.707630000000002</v>
      </c>
      <c r="H2">
        <f>4*D2+2*F2</f>
        <v>938.2</v>
      </c>
      <c r="I2">
        <v>600</v>
      </c>
      <c r="J2">
        <f>(2/(1+F2/10))^0.5</f>
        <v>0.33796515420933165</v>
      </c>
      <c r="K2">
        <f>IF(G2&lt;24, 0.75, IF(G2&lt;35, 0.85, 1))</f>
        <v>1</v>
      </c>
      <c r="L2">
        <v>1</v>
      </c>
      <c r="M2">
        <f t="shared" ref="M2:M65" si="0">0.19*(1+2/L2)*K2*0.65*(G2)^0.5</f>
        <v>2.4212573277137444</v>
      </c>
      <c r="N2">
        <f>(40*F2/H2+0.19)*K2*0.65*(G2)^0.5</f>
        <v>30.70753604503054</v>
      </c>
      <c r="O2">
        <f>0.38*K2*(G2)^0.5</f>
        <v>2.4833408489371731</v>
      </c>
      <c r="P2">
        <f>O2</f>
        <v>2.4833408489371731</v>
      </c>
      <c r="Q2">
        <f>P2*H2*F2/1000</f>
        <v>384.66160047646849</v>
      </c>
    </row>
    <row r="3" spans="1:17" x14ac:dyDescent="0.6">
      <c r="A3">
        <v>2</v>
      </c>
      <c r="B3" s="1" t="s">
        <v>8</v>
      </c>
      <c r="C3" t="s">
        <v>7</v>
      </c>
      <c r="D3">
        <v>406</v>
      </c>
      <c r="F3">
        <v>126</v>
      </c>
      <c r="G3">
        <v>29.83</v>
      </c>
      <c r="H3">
        <f t="shared" ref="H3:H23" si="1">4*D3+2*F3</f>
        <v>1876</v>
      </c>
      <c r="I3">
        <v>311</v>
      </c>
      <c r="J3">
        <f t="shared" ref="J3:J66" si="2">(2/(1+F3/10))^0.5</f>
        <v>0.38348249442368521</v>
      </c>
      <c r="K3">
        <f t="shared" ref="K3:K66" si="3">IF(G3&lt;24, 0.75, IF(G3&lt;35, 0.85, 1))</f>
        <v>0.85</v>
      </c>
      <c r="L3">
        <v>1</v>
      </c>
      <c r="M3">
        <f t="shared" si="0"/>
        <v>1.7200210610029607</v>
      </c>
      <c r="N3">
        <f t="shared" ref="N3:N66" si="4">(40*F3/H3+0.19)*K3*0.65*(G3)^0.5</f>
        <v>8.6802738697852995</v>
      </c>
      <c r="O3">
        <f t="shared" ref="O3:O66" si="5">0.38*K3*(G3)^0.5</f>
        <v>1.7641241651312416</v>
      </c>
      <c r="P3">
        <f t="shared" ref="P3:P66" si="6">O3</f>
        <v>1.7641241651312416</v>
      </c>
      <c r="Q3">
        <f t="shared" ref="Q3:Q66" si="7">P3*H3*F3/1000</f>
        <v>416.99661365706243</v>
      </c>
    </row>
    <row r="4" spans="1:17" x14ac:dyDescent="0.6">
      <c r="A4">
        <v>3</v>
      </c>
      <c r="B4" s="1" t="s">
        <v>8</v>
      </c>
      <c r="C4" t="s">
        <v>7</v>
      </c>
      <c r="D4">
        <v>406</v>
      </c>
      <c r="F4">
        <v>126</v>
      </c>
      <c r="G4">
        <v>26.695</v>
      </c>
      <c r="H4">
        <f t="shared" si="1"/>
        <v>1876</v>
      </c>
      <c r="I4">
        <v>401</v>
      </c>
      <c r="J4">
        <f t="shared" si="2"/>
        <v>0.38348249442368521</v>
      </c>
      <c r="K4">
        <f t="shared" si="3"/>
        <v>0.85</v>
      </c>
      <c r="L4">
        <v>1</v>
      </c>
      <c r="M4">
        <f t="shared" si="0"/>
        <v>1.627129431363521</v>
      </c>
      <c r="N4">
        <f t="shared" si="4"/>
        <v>8.211486130052144</v>
      </c>
      <c r="O4">
        <f t="shared" si="5"/>
        <v>1.6688506988343805</v>
      </c>
      <c r="P4">
        <f t="shared" si="6"/>
        <v>1.6688506988343805</v>
      </c>
      <c r="Q4">
        <f t="shared" si="7"/>
        <v>394.47625278767555</v>
      </c>
    </row>
    <row r="5" spans="1:17" x14ac:dyDescent="0.6">
      <c r="A5">
        <v>4</v>
      </c>
      <c r="B5" s="1" t="s">
        <v>9</v>
      </c>
      <c r="C5" t="s">
        <v>7</v>
      </c>
      <c r="D5">
        <v>200</v>
      </c>
      <c r="F5">
        <v>100</v>
      </c>
      <c r="G5">
        <v>20.52</v>
      </c>
      <c r="H5">
        <f t="shared" si="1"/>
        <v>1000</v>
      </c>
      <c r="I5">
        <v>188</v>
      </c>
      <c r="J5">
        <f t="shared" si="2"/>
        <v>0.42640143271122088</v>
      </c>
      <c r="K5">
        <f t="shared" si="3"/>
        <v>0.75</v>
      </c>
      <c r="L5">
        <v>1</v>
      </c>
      <c r="M5">
        <f t="shared" si="0"/>
        <v>1.2587461462205158</v>
      </c>
      <c r="N5">
        <f t="shared" si="4"/>
        <v>9.2528883380069491</v>
      </c>
      <c r="O5">
        <f t="shared" si="5"/>
        <v>1.2910216884312984</v>
      </c>
      <c r="P5">
        <f t="shared" si="6"/>
        <v>1.2910216884312984</v>
      </c>
      <c r="Q5">
        <f t="shared" si="7"/>
        <v>129.10216884312985</v>
      </c>
    </row>
    <row r="6" spans="1:17" x14ac:dyDescent="0.6">
      <c r="A6">
        <v>5</v>
      </c>
      <c r="B6" s="1" t="s">
        <v>9</v>
      </c>
      <c r="C6" t="s">
        <v>7</v>
      </c>
      <c r="D6">
        <v>200</v>
      </c>
      <c r="F6">
        <v>100</v>
      </c>
      <c r="G6">
        <v>19</v>
      </c>
      <c r="H6">
        <f t="shared" si="1"/>
        <v>1000</v>
      </c>
      <c r="I6">
        <v>202</v>
      </c>
      <c r="J6">
        <f t="shared" si="2"/>
        <v>0.42640143271122088</v>
      </c>
      <c r="K6">
        <f t="shared" si="3"/>
        <v>0.75</v>
      </c>
      <c r="L6">
        <v>1</v>
      </c>
      <c r="M6">
        <f t="shared" si="0"/>
        <v>1.2112290439363649</v>
      </c>
      <c r="N6">
        <f t="shared" si="4"/>
        <v>8.90359595454977</v>
      </c>
      <c r="O6">
        <f t="shared" si="5"/>
        <v>1.2422861989090923</v>
      </c>
      <c r="P6">
        <f t="shared" si="6"/>
        <v>1.2422861989090923</v>
      </c>
      <c r="Q6">
        <f t="shared" si="7"/>
        <v>124.22861989090921</v>
      </c>
    </row>
    <row r="7" spans="1:17" x14ac:dyDescent="0.6">
      <c r="A7">
        <v>6</v>
      </c>
      <c r="B7" s="1" t="s">
        <v>9</v>
      </c>
      <c r="C7" t="s">
        <v>7</v>
      </c>
      <c r="D7">
        <v>200</v>
      </c>
      <c r="F7">
        <v>100</v>
      </c>
      <c r="G7">
        <v>70.3</v>
      </c>
      <c r="H7">
        <f t="shared" si="1"/>
        <v>1000</v>
      </c>
      <c r="I7">
        <v>331</v>
      </c>
      <c r="J7">
        <f t="shared" si="2"/>
        <v>0.42640143271122088</v>
      </c>
      <c r="K7">
        <f t="shared" si="3"/>
        <v>1</v>
      </c>
      <c r="L7">
        <v>1</v>
      </c>
      <c r="M7">
        <f t="shared" si="0"/>
        <v>3.1064607795689296</v>
      </c>
      <c r="N7">
        <f t="shared" si="4"/>
        <v>22.835211695427748</v>
      </c>
      <c r="O7">
        <f t="shared" si="5"/>
        <v>3.1861136200706968</v>
      </c>
      <c r="P7">
        <f t="shared" si="6"/>
        <v>3.1861136200706968</v>
      </c>
      <c r="Q7">
        <f t="shared" si="7"/>
        <v>318.61136200706972</v>
      </c>
    </row>
    <row r="8" spans="1:17" x14ac:dyDescent="0.6">
      <c r="A8">
        <v>7</v>
      </c>
      <c r="B8" s="1" t="s">
        <v>9</v>
      </c>
      <c r="C8" t="s">
        <v>7</v>
      </c>
      <c r="D8">
        <v>200</v>
      </c>
      <c r="F8">
        <v>100</v>
      </c>
      <c r="G8">
        <v>71.25</v>
      </c>
      <c r="H8">
        <f t="shared" si="1"/>
        <v>1000</v>
      </c>
      <c r="I8">
        <v>371</v>
      </c>
      <c r="J8">
        <f t="shared" si="2"/>
        <v>0.42640143271122088</v>
      </c>
      <c r="K8">
        <f t="shared" si="3"/>
        <v>1</v>
      </c>
      <c r="L8">
        <v>1</v>
      </c>
      <c r="M8">
        <f t="shared" si="0"/>
        <v>3.1273799437388488</v>
      </c>
      <c r="N8">
        <f t="shared" si="4"/>
        <v>22.988985902220662</v>
      </c>
      <c r="O8">
        <f t="shared" si="5"/>
        <v>3.2075691730654854</v>
      </c>
      <c r="P8">
        <f t="shared" si="6"/>
        <v>3.2075691730654854</v>
      </c>
      <c r="Q8">
        <f t="shared" si="7"/>
        <v>320.75691730654853</v>
      </c>
    </row>
    <row r="9" spans="1:17" x14ac:dyDescent="0.6">
      <c r="A9">
        <v>8</v>
      </c>
      <c r="B9" s="1" t="s">
        <v>9</v>
      </c>
      <c r="C9" t="s">
        <v>7</v>
      </c>
      <c r="D9">
        <v>200</v>
      </c>
      <c r="F9">
        <v>100</v>
      </c>
      <c r="G9">
        <v>60.515000000000001</v>
      </c>
      <c r="H9">
        <f t="shared" si="1"/>
        <v>1000</v>
      </c>
      <c r="I9">
        <v>405</v>
      </c>
      <c r="J9">
        <f t="shared" si="2"/>
        <v>0.42640143271122088</v>
      </c>
      <c r="K9">
        <f t="shared" si="3"/>
        <v>1</v>
      </c>
      <c r="L9">
        <v>1</v>
      </c>
      <c r="M9">
        <f t="shared" si="0"/>
        <v>2.882170914215533</v>
      </c>
      <c r="N9">
        <f t="shared" si="4"/>
        <v>21.186484439584358</v>
      </c>
      <c r="O9">
        <f t="shared" si="5"/>
        <v>2.9560727325287517</v>
      </c>
      <c r="P9">
        <f t="shared" si="6"/>
        <v>2.9560727325287517</v>
      </c>
      <c r="Q9">
        <f t="shared" si="7"/>
        <v>295.60727325287519</v>
      </c>
    </row>
    <row r="10" spans="1:17" x14ac:dyDescent="0.6">
      <c r="A10">
        <v>9</v>
      </c>
      <c r="B10" s="1" t="s">
        <v>9</v>
      </c>
      <c r="C10" t="s">
        <v>7</v>
      </c>
      <c r="D10">
        <v>200</v>
      </c>
      <c r="F10">
        <v>100</v>
      </c>
      <c r="G10">
        <v>70.965000000000003</v>
      </c>
      <c r="H10">
        <f t="shared" si="1"/>
        <v>1000</v>
      </c>
      <c r="I10">
        <v>489</v>
      </c>
      <c r="J10">
        <f t="shared" si="2"/>
        <v>0.42640143271122088</v>
      </c>
      <c r="K10">
        <f t="shared" si="3"/>
        <v>1</v>
      </c>
      <c r="L10">
        <v>1</v>
      </c>
      <c r="M10">
        <f t="shared" si="0"/>
        <v>3.1211189165506017</v>
      </c>
      <c r="N10">
        <f t="shared" si="4"/>
        <v>22.942961860257935</v>
      </c>
      <c r="O10">
        <f t="shared" si="5"/>
        <v>3.2011476067185654</v>
      </c>
      <c r="P10">
        <f t="shared" si="6"/>
        <v>3.2011476067185654</v>
      </c>
      <c r="Q10">
        <f t="shared" si="7"/>
        <v>320.11476067185652</v>
      </c>
    </row>
    <row r="11" spans="1:17" x14ac:dyDescent="0.6">
      <c r="A11">
        <v>10</v>
      </c>
      <c r="B11" s="1" t="s">
        <v>47</v>
      </c>
      <c r="C11" t="s">
        <v>7</v>
      </c>
      <c r="D11">
        <v>260</v>
      </c>
      <c r="F11">
        <v>210</v>
      </c>
      <c r="G11">
        <v>27.7</v>
      </c>
      <c r="H11">
        <f t="shared" si="1"/>
        <v>1460</v>
      </c>
      <c r="I11">
        <v>1024</v>
      </c>
      <c r="J11">
        <f t="shared" si="2"/>
        <v>0.30151134457776363</v>
      </c>
      <c r="K11">
        <f t="shared" si="3"/>
        <v>0.85</v>
      </c>
      <c r="L11">
        <v>1</v>
      </c>
      <c r="M11">
        <f t="shared" si="0"/>
        <v>1.6574751373135286</v>
      </c>
      <c r="N11">
        <f t="shared" si="4"/>
        <v>17.282594035717871</v>
      </c>
      <c r="O11">
        <f t="shared" si="5"/>
        <v>1.6999744998087474</v>
      </c>
      <c r="P11">
        <f t="shared" si="6"/>
        <v>1.6999744998087474</v>
      </c>
      <c r="Q11">
        <f t="shared" si="7"/>
        <v>521.21218164136189</v>
      </c>
    </row>
    <row r="12" spans="1:17" x14ac:dyDescent="0.6">
      <c r="A12">
        <v>11</v>
      </c>
      <c r="B12" s="1" t="s">
        <v>48</v>
      </c>
      <c r="C12" t="s">
        <v>7</v>
      </c>
      <c r="D12">
        <v>260</v>
      </c>
      <c r="F12">
        <v>210</v>
      </c>
      <c r="G12">
        <v>40.5</v>
      </c>
      <c r="H12">
        <f t="shared" si="1"/>
        <v>1460</v>
      </c>
      <c r="I12">
        <v>439</v>
      </c>
      <c r="J12">
        <f t="shared" si="2"/>
        <v>0.30151134457776363</v>
      </c>
      <c r="K12">
        <f t="shared" si="3"/>
        <v>1</v>
      </c>
      <c r="L12">
        <v>1</v>
      </c>
      <c r="M12">
        <f t="shared" si="0"/>
        <v>2.3578475618665431</v>
      </c>
      <c r="N12">
        <f t="shared" si="4"/>
        <v>24.585419891060727</v>
      </c>
      <c r="O12">
        <f t="shared" si="5"/>
        <v>2.4183051916579927</v>
      </c>
      <c r="P12">
        <f t="shared" si="6"/>
        <v>2.4183051916579927</v>
      </c>
      <c r="Q12">
        <f t="shared" si="7"/>
        <v>741.45237176234059</v>
      </c>
    </row>
    <row r="13" spans="1:17" x14ac:dyDescent="0.6">
      <c r="A13">
        <v>12</v>
      </c>
      <c r="B13" s="1" t="s">
        <v>49</v>
      </c>
      <c r="C13" t="s">
        <v>7</v>
      </c>
      <c r="D13">
        <v>520</v>
      </c>
      <c r="F13">
        <v>456</v>
      </c>
      <c r="G13">
        <v>32.4</v>
      </c>
      <c r="H13">
        <f t="shared" si="1"/>
        <v>2992</v>
      </c>
      <c r="I13">
        <v>2153</v>
      </c>
      <c r="J13">
        <f t="shared" si="2"/>
        <v>0.20716769761626044</v>
      </c>
      <c r="K13">
        <f t="shared" si="3"/>
        <v>0.85</v>
      </c>
      <c r="L13">
        <v>1</v>
      </c>
      <c r="M13">
        <f t="shared" si="0"/>
        <v>1.7925845258313484</v>
      </c>
      <c r="N13">
        <f t="shared" si="4"/>
        <v>19.769555189516144</v>
      </c>
      <c r="O13">
        <f t="shared" si="5"/>
        <v>1.838548231621896</v>
      </c>
      <c r="P13">
        <f t="shared" si="6"/>
        <v>1.838548231621896</v>
      </c>
      <c r="Q13">
        <f t="shared" si="7"/>
        <v>2508.4269569097974</v>
      </c>
    </row>
    <row r="14" spans="1:17" x14ac:dyDescent="0.6">
      <c r="A14">
        <v>13</v>
      </c>
      <c r="B14" s="1" t="s">
        <v>50</v>
      </c>
      <c r="C14" t="s">
        <v>7</v>
      </c>
      <c r="D14">
        <v>260</v>
      </c>
      <c r="F14">
        <v>210</v>
      </c>
      <c r="G14">
        <v>32.200000000000003</v>
      </c>
      <c r="H14">
        <f t="shared" si="1"/>
        <v>1460</v>
      </c>
      <c r="I14">
        <v>408</v>
      </c>
      <c r="J14">
        <f t="shared" si="2"/>
        <v>0.30151134457776363</v>
      </c>
      <c r="K14">
        <f t="shared" si="3"/>
        <v>0.85</v>
      </c>
      <c r="L14">
        <v>1</v>
      </c>
      <c r="M14">
        <f t="shared" si="0"/>
        <v>1.7870432930192264</v>
      </c>
      <c r="N14">
        <f t="shared" si="4"/>
        <v>18.633609073353803</v>
      </c>
      <c r="O14">
        <f t="shared" si="5"/>
        <v>1.8328649159171553</v>
      </c>
      <c r="P14">
        <f t="shared" si="6"/>
        <v>1.8328649159171553</v>
      </c>
      <c r="Q14">
        <f t="shared" si="7"/>
        <v>561.95638322019988</v>
      </c>
    </row>
    <row r="15" spans="1:17" x14ac:dyDescent="0.6">
      <c r="A15">
        <v>14</v>
      </c>
      <c r="B15" s="1" t="s">
        <v>51</v>
      </c>
      <c r="C15" t="s">
        <v>7</v>
      </c>
      <c r="D15">
        <v>260</v>
      </c>
      <c r="F15">
        <v>210</v>
      </c>
      <c r="G15">
        <v>29.3</v>
      </c>
      <c r="H15">
        <f t="shared" si="1"/>
        <v>1460</v>
      </c>
      <c r="I15">
        <v>550</v>
      </c>
      <c r="J15">
        <f t="shared" si="2"/>
        <v>0.30151134457776363</v>
      </c>
      <c r="K15">
        <f t="shared" si="3"/>
        <v>0.85</v>
      </c>
      <c r="L15">
        <v>1</v>
      </c>
      <c r="M15">
        <f t="shared" si="0"/>
        <v>1.7046724728851874</v>
      </c>
      <c r="N15">
        <f t="shared" si="4"/>
        <v>17.7747235234486</v>
      </c>
      <c r="O15">
        <f t="shared" si="5"/>
        <v>1.7483820234719871</v>
      </c>
      <c r="P15">
        <f t="shared" si="6"/>
        <v>1.7483820234719871</v>
      </c>
      <c r="Q15">
        <f t="shared" si="7"/>
        <v>536.0539283965112</v>
      </c>
    </row>
    <row r="16" spans="1:17" x14ac:dyDescent="0.6">
      <c r="A16">
        <v>15</v>
      </c>
      <c r="B16" s="1" t="s">
        <v>52</v>
      </c>
      <c r="C16" t="s">
        <v>7</v>
      </c>
      <c r="D16">
        <v>130</v>
      </c>
      <c r="F16">
        <v>96</v>
      </c>
      <c r="G16">
        <v>29.3</v>
      </c>
      <c r="H16">
        <f t="shared" si="1"/>
        <v>712</v>
      </c>
      <c r="I16">
        <v>236</v>
      </c>
      <c r="J16">
        <f t="shared" si="2"/>
        <v>0.4343722427630694</v>
      </c>
      <c r="K16">
        <f t="shared" si="3"/>
        <v>0.85</v>
      </c>
      <c r="L16">
        <v>1</v>
      </c>
      <c r="M16">
        <f t="shared" si="0"/>
        <v>1.7046724728851874</v>
      </c>
      <c r="N16">
        <f t="shared" si="4"/>
        <v>16.69759113939244</v>
      </c>
      <c r="O16">
        <f t="shared" si="5"/>
        <v>1.7483820234719871</v>
      </c>
      <c r="P16">
        <f t="shared" si="6"/>
        <v>1.7483820234719871</v>
      </c>
      <c r="Q16">
        <f t="shared" si="7"/>
        <v>119.50540806835726</v>
      </c>
    </row>
    <row r="17" spans="1:17" x14ac:dyDescent="0.6">
      <c r="A17">
        <v>16</v>
      </c>
      <c r="B17" s="1" t="s">
        <v>53</v>
      </c>
      <c r="C17" t="s">
        <v>7</v>
      </c>
      <c r="D17">
        <v>130</v>
      </c>
      <c r="F17">
        <v>100</v>
      </c>
      <c r="G17">
        <v>34.700000000000003</v>
      </c>
      <c r="H17">
        <f t="shared" si="1"/>
        <v>720</v>
      </c>
      <c r="I17">
        <v>243</v>
      </c>
      <c r="J17">
        <f t="shared" si="2"/>
        <v>0.42640143271122088</v>
      </c>
      <c r="K17">
        <f t="shared" si="3"/>
        <v>0.85</v>
      </c>
      <c r="L17">
        <v>1</v>
      </c>
      <c r="M17">
        <f t="shared" si="0"/>
        <v>1.8551194355586651</v>
      </c>
      <c r="N17">
        <f t="shared" si="4"/>
        <v>18.699459261742415</v>
      </c>
      <c r="O17">
        <f t="shared" si="5"/>
        <v>1.9026866005729899</v>
      </c>
      <c r="P17">
        <f t="shared" si="6"/>
        <v>1.9026866005729899</v>
      </c>
      <c r="Q17">
        <f t="shared" si="7"/>
        <v>136.99343524125527</v>
      </c>
    </row>
    <row r="18" spans="1:17" x14ac:dyDescent="0.6">
      <c r="A18">
        <v>17</v>
      </c>
      <c r="B18" s="1" t="s">
        <v>54</v>
      </c>
      <c r="C18" t="s">
        <v>7</v>
      </c>
      <c r="D18">
        <v>130</v>
      </c>
      <c r="F18">
        <v>117</v>
      </c>
      <c r="G18">
        <v>34.700000000000003</v>
      </c>
      <c r="H18">
        <f t="shared" si="1"/>
        <v>754</v>
      </c>
      <c r="I18">
        <v>141</v>
      </c>
      <c r="J18">
        <f t="shared" si="2"/>
        <v>0.39683789506627254</v>
      </c>
      <c r="K18">
        <f t="shared" si="3"/>
        <v>0.85</v>
      </c>
      <c r="L18">
        <v>1</v>
      </c>
      <c r="M18">
        <f t="shared" si="0"/>
        <v>1.8551194355586651</v>
      </c>
      <c r="N18">
        <f t="shared" si="4"/>
        <v>20.819310737476584</v>
      </c>
      <c r="O18">
        <f t="shared" si="5"/>
        <v>1.9026866005729899</v>
      </c>
      <c r="P18">
        <f t="shared" si="6"/>
        <v>1.9026866005729899</v>
      </c>
      <c r="Q18">
        <f t="shared" si="7"/>
        <v>167.85120652934805</v>
      </c>
    </row>
    <row r="19" spans="1:17" x14ac:dyDescent="0.6">
      <c r="A19">
        <v>18</v>
      </c>
      <c r="B19" s="1" t="s">
        <v>55</v>
      </c>
      <c r="C19" t="s">
        <v>7</v>
      </c>
      <c r="D19">
        <v>130</v>
      </c>
      <c r="F19">
        <v>117</v>
      </c>
      <c r="G19">
        <v>29.3</v>
      </c>
      <c r="H19">
        <f t="shared" si="1"/>
        <v>754</v>
      </c>
      <c r="I19">
        <v>118</v>
      </c>
      <c r="J19">
        <f t="shared" si="2"/>
        <v>0.39683789506627254</v>
      </c>
      <c r="K19">
        <f t="shared" si="3"/>
        <v>0.85</v>
      </c>
      <c r="L19">
        <v>1</v>
      </c>
      <c r="M19">
        <f t="shared" si="0"/>
        <v>1.7046724728851874</v>
      </c>
      <c r="N19">
        <f t="shared" si="4"/>
        <v>19.130900813365464</v>
      </c>
      <c r="O19">
        <f t="shared" si="5"/>
        <v>1.7483820234719871</v>
      </c>
      <c r="P19">
        <f t="shared" si="6"/>
        <v>1.7483820234719871</v>
      </c>
      <c r="Q19">
        <f t="shared" si="7"/>
        <v>154.23876534665175</v>
      </c>
    </row>
    <row r="20" spans="1:17" x14ac:dyDescent="0.6">
      <c r="A20">
        <v>19</v>
      </c>
      <c r="B20" s="1" t="s">
        <v>56</v>
      </c>
      <c r="C20" t="s">
        <v>7</v>
      </c>
      <c r="D20">
        <v>260</v>
      </c>
      <c r="F20">
        <v>210</v>
      </c>
      <c r="G20">
        <v>28.5</v>
      </c>
      <c r="H20">
        <f t="shared" si="1"/>
        <v>1460</v>
      </c>
      <c r="I20">
        <v>540</v>
      </c>
      <c r="J20">
        <f t="shared" si="2"/>
        <v>0.30151134457776363</v>
      </c>
      <c r="K20">
        <f t="shared" si="3"/>
        <v>0.85</v>
      </c>
      <c r="L20">
        <v>1</v>
      </c>
      <c r="M20">
        <f t="shared" si="0"/>
        <v>1.6812394342604804</v>
      </c>
      <c r="N20">
        <f t="shared" si="4"/>
        <v>17.530385804916957</v>
      </c>
      <c r="O20">
        <f t="shared" si="5"/>
        <v>1.7243481377030567</v>
      </c>
      <c r="P20">
        <f t="shared" si="6"/>
        <v>1.7243481377030567</v>
      </c>
      <c r="Q20">
        <f t="shared" si="7"/>
        <v>528.68513901975712</v>
      </c>
    </row>
    <row r="21" spans="1:17" x14ac:dyDescent="0.6">
      <c r="A21">
        <v>20</v>
      </c>
      <c r="B21" s="1" t="s">
        <v>11</v>
      </c>
      <c r="C21" t="s">
        <v>7</v>
      </c>
      <c r="D21">
        <v>250</v>
      </c>
      <c r="F21">
        <v>124</v>
      </c>
      <c r="G21">
        <v>33.304000000000002</v>
      </c>
      <c r="H21">
        <f t="shared" si="1"/>
        <v>1248</v>
      </c>
      <c r="I21">
        <v>483</v>
      </c>
      <c r="J21">
        <f t="shared" si="2"/>
        <v>0.38633370464312788</v>
      </c>
      <c r="K21">
        <f t="shared" si="3"/>
        <v>0.85</v>
      </c>
      <c r="L21">
        <v>1</v>
      </c>
      <c r="M21">
        <f t="shared" si="0"/>
        <v>1.8174201422167084</v>
      </c>
      <c r="N21">
        <f t="shared" si="4"/>
        <v>13.277876981440198</v>
      </c>
      <c r="O21">
        <f t="shared" si="5"/>
        <v>1.8640206586838035</v>
      </c>
      <c r="P21">
        <f t="shared" si="6"/>
        <v>1.8640206586838035</v>
      </c>
      <c r="Q21">
        <f t="shared" si="7"/>
        <v>288.46092497263595</v>
      </c>
    </row>
    <row r="22" spans="1:17" x14ac:dyDescent="0.6">
      <c r="A22">
        <v>21</v>
      </c>
      <c r="B22" s="1" t="s">
        <v>11</v>
      </c>
      <c r="C22" t="s">
        <v>7</v>
      </c>
      <c r="D22">
        <v>300</v>
      </c>
      <c r="F22">
        <v>190</v>
      </c>
      <c r="G22">
        <v>32.200000000000003</v>
      </c>
      <c r="H22">
        <f t="shared" si="1"/>
        <v>1580</v>
      </c>
      <c r="I22">
        <v>825</v>
      </c>
      <c r="J22">
        <f t="shared" si="2"/>
        <v>0.31622776601683794</v>
      </c>
      <c r="K22">
        <f t="shared" si="3"/>
        <v>0.85</v>
      </c>
      <c r="L22">
        <v>1</v>
      </c>
      <c r="M22">
        <f t="shared" si="0"/>
        <v>1.7870432930192264</v>
      </c>
      <c r="N22">
        <f t="shared" si="4"/>
        <v>15.676215215978782</v>
      </c>
      <c r="O22">
        <f t="shared" si="5"/>
        <v>1.8328649159171553</v>
      </c>
      <c r="P22">
        <f t="shared" si="6"/>
        <v>1.8328649159171553</v>
      </c>
      <c r="Q22">
        <f t="shared" si="7"/>
        <v>550.22604775832997</v>
      </c>
    </row>
    <row r="23" spans="1:17" x14ac:dyDescent="0.6">
      <c r="A23">
        <v>22</v>
      </c>
      <c r="B23" s="1" t="s">
        <v>11</v>
      </c>
      <c r="C23" t="s">
        <v>7</v>
      </c>
      <c r="D23">
        <v>350</v>
      </c>
      <c r="F23">
        <v>260</v>
      </c>
      <c r="G23">
        <v>28.888000000000002</v>
      </c>
      <c r="H23">
        <f t="shared" si="1"/>
        <v>1920</v>
      </c>
      <c r="I23">
        <v>1046</v>
      </c>
      <c r="J23">
        <f t="shared" si="2"/>
        <v>0.27216552697590868</v>
      </c>
      <c r="K23">
        <f t="shared" si="3"/>
        <v>0.85</v>
      </c>
      <c r="L23">
        <v>1</v>
      </c>
      <c r="M23">
        <f t="shared" si="0"/>
        <v>1.6926449729624344</v>
      </c>
      <c r="N23">
        <f t="shared" si="4"/>
        <v>16.649291488437516</v>
      </c>
      <c r="O23">
        <f t="shared" si="5"/>
        <v>1.7360461261153175</v>
      </c>
      <c r="P23">
        <f t="shared" si="6"/>
        <v>1.7360461261153175</v>
      </c>
      <c r="Q23">
        <f t="shared" si="7"/>
        <v>866.63422615676643</v>
      </c>
    </row>
    <row r="24" spans="1:17" x14ac:dyDescent="0.6">
      <c r="A24">
        <v>23</v>
      </c>
      <c r="B24" s="2" t="s">
        <v>57</v>
      </c>
      <c r="C24" t="s">
        <v>10</v>
      </c>
      <c r="D24">
        <v>175</v>
      </c>
      <c r="F24">
        <v>172</v>
      </c>
      <c r="G24">
        <v>38.664999999999999</v>
      </c>
      <c r="H24">
        <f>PI()*(D24+F24)</f>
        <v>1090.1326507956583</v>
      </c>
      <c r="I24">
        <v>789</v>
      </c>
      <c r="J24">
        <f t="shared" si="2"/>
        <v>0.33149677206589795</v>
      </c>
      <c r="K24">
        <f t="shared" si="3"/>
        <v>1</v>
      </c>
      <c r="L24">
        <v>1</v>
      </c>
      <c r="M24">
        <f t="shared" si="0"/>
        <v>2.303812973366111</v>
      </c>
      <c r="N24">
        <f t="shared" si="4"/>
        <v>26.276234052679452</v>
      </c>
      <c r="O24">
        <f t="shared" si="5"/>
        <v>2.3628851008883189</v>
      </c>
      <c r="P24">
        <f t="shared" si="6"/>
        <v>2.3628851008883189</v>
      </c>
      <c r="Q24">
        <f t="shared" si="7"/>
        <v>443.04761015179531</v>
      </c>
    </row>
    <row r="25" spans="1:17" x14ac:dyDescent="0.6">
      <c r="A25">
        <v>24</v>
      </c>
      <c r="B25" s="2" t="s">
        <v>57</v>
      </c>
      <c r="C25" t="s">
        <v>10</v>
      </c>
      <c r="D25">
        <v>175</v>
      </c>
      <c r="F25">
        <v>172</v>
      </c>
      <c r="G25">
        <v>34.200000000000003</v>
      </c>
      <c r="H25">
        <f t="shared" ref="H25:H26" si="8">PI()*(D25+F25)</f>
        <v>1090.1326507956583</v>
      </c>
      <c r="I25">
        <v>668</v>
      </c>
      <c r="J25">
        <f t="shared" si="2"/>
        <v>0.33149677206589795</v>
      </c>
      <c r="K25">
        <f t="shared" si="3"/>
        <v>0.85</v>
      </c>
      <c r="L25">
        <v>1</v>
      </c>
      <c r="M25">
        <f t="shared" si="0"/>
        <v>1.8417055254233778</v>
      </c>
      <c r="N25">
        <f t="shared" si="4"/>
        <v>21.005648462613838</v>
      </c>
      <c r="O25">
        <f t="shared" si="5"/>
        <v>1.8889287440239773</v>
      </c>
      <c r="P25">
        <f t="shared" si="6"/>
        <v>1.8889287440239773</v>
      </c>
      <c r="Q25">
        <f t="shared" si="7"/>
        <v>354.17945860855912</v>
      </c>
    </row>
    <row r="26" spans="1:17" x14ac:dyDescent="0.6">
      <c r="A26">
        <v>25</v>
      </c>
      <c r="B26" s="2" t="s">
        <v>57</v>
      </c>
      <c r="C26" t="s">
        <v>10</v>
      </c>
      <c r="D26">
        <v>250</v>
      </c>
      <c r="F26">
        <v>246</v>
      </c>
      <c r="G26">
        <v>31.16</v>
      </c>
      <c r="H26">
        <f t="shared" si="8"/>
        <v>1558.2299561805373</v>
      </c>
      <c r="I26">
        <v>1356</v>
      </c>
      <c r="J26">
        <f t="shared" si="2"/>
        <v>0.27950849718747373</v>
      </c>
      <c r="K26">
        <f t="shared" si="3"/>
        <v>0.85</v>
      </c>
      <c r="L26">
        <v>1</v>
      </c>
      <c r="M26">
        <f t="shared" si="0"/>
        <v>1.7579473442839522</v>
      </c>
      <c r="N26">
        <f t="shared" si="4"/>
        <v>20.061748816618419</v>
      </c>
      <c r="O26">
        <f t="shared" si="5"/>
        <v>1.80302291721431</v>
      </c>
      <c r="P26">
        <f t="shared" si="6"/>
        <v>1.80302291721431</v>
      </c>
      <c r="Q26">
        <f t="shared" si="7"/>
        <v>691.14298303570638</v>
      </c>
    </row>
    <row r="27" spans="1:17" x14ac:dyDescent="0.6">
      <c r="A27">
        <v>26</v>
      </c>
      <c r="B27" s="1" t="s">
        <v>18</v>
      </c>
      <c r="C27" t="s">
        <v>7</v>
      </c>
      <c r="D27">
        <v>200</v>
      </c>
      <c r="F27">
        <v>141.5</v>
      </c>
      <c r="G27">
        <v>30</v>
      </c>
      <c r="H27">
        <f t="shared" ref="H27:H34" si="9">4*D27+2*F27</f>
        <v>1083</v>
      </c>
      <c r="I27">
        <v>170</v>
      </c>
      <c r="J27">
        <f t="shared" si="2"/>
        <v>0.36333620975637976</v>
      </c>
      <c r="K27">
        <f t="shared" si="3"/>
        <v>0.85</v>
      </c>
      <c r="L27">
        <v>1</v>
      </c>
      <c r="M27">
        <f t="shared" si="0"/>
        <v>1.7249152642231445</v>
      </c>
      <c r="N27">
        <f t="shared" si="4"/>
        <v>16.390397384494328</v>
      </c>
      <c r="O27">
        <f t="shared" si="5"/>
        <v>1.7691438607416867</v>
      </c>
      <c r="P27">
        <f t="shared" si="6"/>
        <v>1.7691438607416867</v>
      </c>
      <c r="Q27">
        <f t="shared" si="7"/>
        <v>271.11156636742942</v>
      </c>
    </row>
    <row r="28" spans="1:17" x14ac:dyDescent="0.6">
      <c r="A28">
        <v>27</v>
      </c>
      <c r="B28" s="1" t="s">
        <v>18</v>
      </c>
      <c r="C28" t="s">
        <v>7</v>
      </c>
      <c r="D28">
        <v>200</v>
      </c>
      <c r="F28">
        <v>141.5</v>
      </c>
      <c r="G28">
        <v>30.75</v>
      </c>
      <c r="H28">
        <f t="shared" si="9"/>
        <v>1083</v>
      </c>
      <c r="I28">
        <v>229</v>
      </c>
      <c r="J28">
        <f t="shared" si="2"/>
        <v>0.36333620975637976</v>
      </c>
      <c r="K28">
        <f t="shared" si="3"/>
        <v>0.85</v>
      </c>
      <c r="L28">
        <v>1</v>
      </c>
      <c r="M28">
        <f t="shared" si="0"/>
        <v>1.746343604640493</v>
      </c>
      <c r="N28">
        <f t="shared" si="4"/>
        <v>16.5940126124509</v>
      </c>
      <c r="O28">
        <f t="shared" si="5"/>
        <v>1.7911216457851209</v>
      </c>
      <c r="P28">
        <f t="shared" si="6"/>
        <v>1.7911216457851209</v>
      </c>
      <c r="Q28">
        <f t="shared" si="7"/>
        <v>274.47954104751796</v>
      </c>
    </row>
    <row r="29" spans="1:17" x14ac:dyDescent="0.6">
      <c r="A29">
        <v>28</v>
      </c>
      <c r="B29" s="1" t="s">
        <v>18</v>
      </c>
      <c r="C29" t="s">
        <v>7</v>
      </c>
      <c r="D29">
        <v>200</v>
      </c>
      <c r="F29">
        <v>142</v>
      </c>
      <c r="G29">
        <v>43.5</v>
      </c>
      <c r="H29">
        <f t="shared" si="9"/>
        <v>1084</v>
      </c>
      <c r="I29">
        <v>271</v>
      </c>
      <c r="J29">
        <f t="shared" si="2"/>
        <v>0.3627381250550058</v>
      </c>
      <c r="K29">
        <f t="shared" si="3"/>
        <v>1</v>
      </c>
      <c r="L29">
        <v>1</v>
      </c>
      <c r="M29">
        <f t="shared" si="0"/>
        <v>2.4436153287700586</v>
      </c>
      <c r="N29">
        <f t="shared" si="4"/>
        <v>23.278018515775578</v>
      </c>
      <c r="O29">
        <f t="shared" si="5"/>
        <v>2.5062721320718548</v>
      </c>
      <c r="P29">
        <f t="shared" si="6"/>
        <v>2.5062721320718548</v>
      </c>
      <c r="Q29">
        <f t="shared" si="7"/>
        <v>385.78545674555642</v>
      </c>
    </row>
    <row r="30" spans="1:17" x14ac:dyDescent="0.6">
      <c r="A30">
        <v>29</v>
      </c>
      <c r="B30" s="1" t="s">
        <v>18</v>
      </c>
      <c r="C30" t="s">
        <v>7</v>
      </c>
      <c r="D30">
        <v>200</v>
      </c>
      <c r="F30">
        <v>142</v>
      </c>
      <c r="G30">
        <v>28.5</v>
      </c>
      <c r="H30">
        <f t="shared" si="9"/>
        <v>1084</v>
      </c>
      <c r="I30">
        <v>237</v>
      </c>
      <c r="J30">
        <f t="shared" si="2"/>
        <v>0.3627381250550058</v>
      </c>
      <c r="K30">
        <f t="shared" si="3"/>
        <v>0.85</v>
      </c>
      <c r="L30">
        <v>1</v>
      </c>
      <c r="M30">
        <f t="shared" si="0"/>
        <v>1.6812394342604804</v>
      </c>
      <c r="N30">
        <f t="shared" si="4"/>
        <v>16.015582411600665</v>
      </c>
      <c r="O30">
        <f t="shared" si="5"/>
        <v>1.7243481377030567</v>
      </c>
      <c r="P30">
        <f t="shared" si="6"/>
        <v>1.7243481377030567</v>
      </c>
      <c r="Q30">
        <f t="shared" si="7"/>
        <v>265.42546014035617</v>
      </c>
    </row>
    <row r="31" spans="1:17" x14ac:dyDescent="0.6">
      <c r="A31">
        <v>30</v>
      </c>
      <c r="B31" s="1" t="s">
        <v>18</v>
      </c>
      <c r="C31" t="s">
        <v>7</v>
      </c>
      <c r="D31">
        <v>200</v>
      </c>
      <c r="F31">
        <v>142</v>
      </c>
      <c r="G31">
        <v>27.75</v>
      </c>
      <c r="H31">
        <f t="shared" si="9"/>
        <v>1084</v>
      </c>
      <c r="I31">
        <v>317</v>
      </c>
      <c r="J31">
        <f t="shared" si="2"/>
        <v>0.3627381250550058</v>
      </c>
      <c r="K31">
        <f t="shared" si="3"/>
        <v>0.85</v>
      </c>
      <c r="L31">
        <v>1</v>
      </c>
      <c r="M31">
        <f t="shared" si="0"/>
        <v>1.6589703790585744</v>
      </c>
      <c r="N31">
        <f t="shared" si="4"/>
        <v>15.803446125984994</v>
      </c>
      <c r="O31">
        <f t="shared" si="5"/>
        <v>1.7015080810857173</v>
      </c>
      <c r="P31">
        <f t="shared" si="6"/>
        <v>1.7015080810857173</v>
      </c>
      <c r="Q31">
        <f t="shared" si="7"/>
        <v>261.90973590536231</v>
      </c>
    </row>
    <row r="32" spans="1:17" x14ac:dyDescent="0.6">
      <c r="A32">
        <v>31</v>
      </c>
      <c r="B32" s="1" t="s">
        <v>31</v>
      </c>
      <c r="C32" t="s">
        <v>7</v>
      </c>
      <c r="D32">
        <v>120</v>
      </c>
      <c r="F32">
        <v>107</v>
      </c>
      <c r="G32">
        <v>52.44</v>
      </c>
      <c r="H32">
        <f t="shared" si="9"/>
        <v>694</v>
      </c>
      <c r="I32">
        <v>240</v>
      </c>
      <c r="J32">
        <f t="shared" si="2"/>
        <v>0.4134491152973615</v>
      </c>
      <c r="K32">
        <f t="shared" si="3"/>
        <v>1</v>
      </c>
      <c r="L32">
        <v>1</v>
      </c>
      <c r="M32">
        <f t="shared" si="0"/>
        <v>2.682993087952334</v>
      </c>
      <c r="N32">
        <f t="shared" si="4"/>
        <v>29.923125246507368</v>
      </c>
      <c r="O32">
        <f t="shared" si="5"/>
        <v>2.7517877825152142</v>
      </c>
      <c r="P32">
        <f t="shared" si="6"/>
        <v>2.7517877825152142</v>
      </c>
      <c r="Q32">
        <f t="shared" si="7"/>
        <v>204.34225715401479</v>
      </c>
    </row>
    <row r="33" spans="1:17" x14ac:dyDescent="0.6">
      <c r="A33">
        <v>32</v>
      </c>
      <c r="B33" s="1" t="s">
        <v>32</v>
      </c>
      <c r="C33" t="s">
        <v>7</v>
      </c>
      <c r="D33">
        <v>120</v>
      </c>
      <c r="F33">
        <v>108</v>
      </c>
      <c r="G33">
        <v>54.28</v>
      </c>
      <c r="H33">
        <f t="shared" si="9"/>
        <v>696</v>
      </c>
      <c r="I33">
        <v>322</v>
      </c>
      <c r="J33">
        <f t="shared" si="2"/>
        <v>0.41169348479630913</v>
      </c>
      <c r="K33">
        <f t="shared" si="3"/>
        <v>1</v>
      </c>
      <c r="L33">
        <v>1</v>
      </c>
      <c r="M33">
        <f t="shared" si="0"/>
        <v>2.7296573356375711</v>
      </c>
      <c r="N33">
        <f t="shared" si="4"/>
        <v>30.633922101278028</v>
      </c>
      <c r="O33">
        <f t="shared" si="5"/>
        <v>2.799648549371867</v>
      </c>
      <c r="P33">
        <f t="shared" si="6"/>
        <v>2.799648549371867</v>
      </c>
      <c r="Q33">
        <f t="shared" si="7"/>
        <v>210.44398215918449</v>
      </c>
    </row>
    <row r="34" spans="1:17" x14ac:dyDescent="0.6">
      <c r="A34">
        <v>33</v>
      </c>
      <c r="B34" s="1" t="s">
        <v>33</v>
      </c>
      <c r="C34" t="s">
        <v>7</v>
      </c>
      <c r="D34">
        <v>120</v>
      </c>
      <c r="F34">
        <v>107</v>
      </c>
      <c r="G34">
        <v>54.28</v>
      </c>
      <c r="H34">
        <f t="shared" si="9"/>
        <v>694</v>
      </c>
      <c r="I34">
        <v>318</v>
      </c>
      <c r="J34">
        <f t="shared" si="2"/>
        <v>0.4134491152973615</v>
      </c>
      <c r="K34">
        <f t="shared" si="3"/>
        <v>1</v>
      </c>
      <c r="L34">
        <v>1</v>
      </c>
      <c r="M34">
        <f t="shared" si="0"/>
        <v>2.7296573356375711</v>
      </c>
      <c r="N34">
        <f t="shared" si="4"/>
        <v>30.443566441190082</v>
      </c>
      <c r="O34">
        <f t="shared" si="5"/>
        <v>2.799648549371867</v>
      </c>
      <c r="P34">
        <f t="shared" si="6"/>
        <v>2.799648549371867</v>
      </c>
      <c r="Q34">
        <f t="shared" si="7"/>
        <v>207.89630197925609</v>
      </c>
    </row>
    <row r="35" spans="1:17" x14ac:dyDescent="0.6">
      <c r="A35">
        <v>34</v>
      </c>
      <c r="B35" s="1" t="s">
        <v>34</v>
      </c>
      <c r="C35" t="s">
        <v>12</v>
      </c>
      <c r="D35">
        <v>120</v>
      </c>
      <c r="E35">
        <v>240</v>
      </c>
      <c r="F35">
        <v>109</v>
      </c>
      <c r="G35">
        <v>53.36</v>
      </c>
      <c r="H35">
        <f>2*D35+2*E35+2*F35</f>
        <v>938</v>
      </c>
      <c r="I35">
        <v>246</v>
      </c>
      <c r="J35">
        <f t="shared" si="2"/>
        <v>0.40996003084539384</v>
      </c>
      <c r="K35">
        <f t="shared" si="3"/>
        <v>1</v>
      </c>
      <c r="L35">
        <f>D35/E35</f>
        <v>0.5</v>
      </c>
      <c r="M35">
        <f t="shared" si="0"/>
        <v>4.5107096448341686</v>
      </c>
      <c r="N35">
        <f t="shared" si="4"/>
        <v>22.972273285129983</v>
      </c>
      <c r="O35">
        <f t="shared" si="5"/>
        <v>2.7758213198979504</v>
      </c>
      <c r="P35">
        <f t="shared" si="6"/>
        <v>2.7758213198979504</v>
      </c>
      <c r="Q35">
        <f t="shared" si="7"/>
        <v>283.80552338900628</v>
      </c>
    </row>
    <row r="36" spans="1:17" x14ac:dyDescent="0.6">
      <c r="A36">
        <v>35</v>
      </c>
      <c r="B36" s="1" t="s">
        <v>35</v>
      </c>
      <c r="C36" t="s">
        <v>12</v>
      </c>
      <c r="D36">
        <v>120</v>
      </c>
      <c r="E36">
        <v>240</v>
      </c>
      <c r="F36">
        <v>106</v>
      </c>
      <c r="G36">
        <v>53.36</v>
      </c>
      <c r="H36">
        <f t="shared" ref="H36:H46" si="10">2*D36+2*E36+2*F36</f>
        <v>932</v>
      </c>
      <c r="I36">
        <v>361</v>
      </c>
      <c r="J36">
        <f t="shared" si="2"/>
        <v>0.41522739926869984</v>
      </c>
      <c r="K36">
        <f t="shared" si="3"/>
        <v>1</v>
      </c>
      <c r="L36">
        <f t="shared" ref="L36:L46" si="11">D36/E36</f>
        <v>0.5</v>
      </c>
      <c r="M36">
        <f t="shared" si="0"/>
        <v>4.5107096448341686</v>
      </c>
      <c r="N36">
        <f t="shared" si="4"/>
        <v>22.50301034335229</v>
      </c>
      <c r="O36">
        <f t="shared" si="5"/>
        <v>2.7758213198979504</v>
      </c>
      <c r="P36">
        <f t="shared" si="6"/>
        <v>2.7758213198979504</v>
      </c>
      <c r="Q36">
        <f t="shared" si="7"/>
        <v>274.22893983535829</v>
      </c>
    </row>
    <row r="37" spans="1:17" x14ac:dyDescent="0.6">
      <c r="A37">
        <v>36</v>
      </c>
      <c r="B37" s="1" t="s">
        <v>36</v>
      </c>
      <c r="C37" t="s">
        <v>12</v>
      </c>
      <c r="D37">
        <v>120</v>
      </c>
      <c r="E37">
        <v>240</v>
      </c>
      <c r="F37">
        <v>107</v>
      </c>
      <c r="G37">
        <v>52.44</v>
      </c>
      <c r="H37">
        <f t="shared" si="10"/>
        <v>934</v>
      </c>
      <c r="I37">
        <v>331</v>
      </c>
      <c r="J37">
        <f t="shared" si="2"/>
        <v>0.4134491152973615</v>
      </c>
      <c r="K37">
        <f t="shared" si="3"/>
        <v>1</v>
      </c>
      <c r="L37">
        <f t="shared" si="11"/>
        <v>0.5</v>
      </c>
      <c r="M37">
        <f t="shared" si="0"/>
        <v>4.4716551465872225</v>
      </c>
      <c r="N37">
        <f t="shared" si="4"/>
        <v>22.463906175709099</v>
      </c>
      <c r="O37">
        <f t="shared" si="5"/>
        <v>2.7517877825152142</v>
      </c>
      <c r="P37">
        <f t="shared" si="6"/>
        <v>2.7517877825152142</v>
      </c>
      <c r="Q37">
        <f t="shared" si="7"/>
        <v>275.00816740900547</v>
      </c>
    </row>
    <row r="38" spans="1:17" x14ac:dyDescent="0.6">
      <c r="A38">
        <v>37</v>
      </c>
      <c r="B38" s="1" t="s">
        <v>37</v>
      </c>
      <c r="C38" t="s">
        <v>12</v>
      </c>
      <c r="D38">
        <v>120</v>
      </c>
      <c r="E38">
        <v>360</v>
      </c>
      <c r="F38">
        <v>108</v>
      </c>
      <c r="G38">
        <v>51.52</v>
      </c>
      <c r="H38">
        <f t="shared" si="10"/>
        <v>1176</v>
      </c>
      <c r="I38">
        <v>241</v>
      </c>
      <c r="J38">
        <f t="shared" si="2"/>
        <v>0.41169348479630913</v>
      </c>
      <c r="K38">
        <f t="shared" si="3"/>
        <v>1</v>
      </c>
      <c r="L38">
        <f t="shared" si="11"/>
        <v>0.33333333333333331</v>
      </c>
      <c r="M38">
        <f t="shared" si="0"/>
        <v>6.2051591502555361</v>
      </c>
      <c r="N38">
        <f t="shared" si="4"/>
        <v>18.025144679068212</v>
      </c>
      <c r="O38">
        <f t="shared" si="5"/>
        <v>2.7275424836288069</v>
      </c>
      <c r="P38">
        <f t="shared" si="6"/>
        <v>2.7275424836288069</v>
      </c>
      <c r="Q38">
        <f t="shared" si="7"/>
        <v>346.41971576072751</v>
      </c>
    </row>
    <row r="39" spans="1:17" x14ac:dyDescent="0.6">
      <c r="A39">
        <v>38</v>
      </c>
      <c r="B39" s="1" t="s">
        <v>38</v>
      </c>
      <c r="C39" t="s">
        <v>12</v>
      </c>
      <c r="D39">
        <v>120</v>
      </c>
      <c r="E39">
        <v>360</v>
      </c>
      <c r="F39">
        <v>107</v>
      </c>
      <c r="G39">
        <v>55.2</v>
      </c>
      <c r="H39">
        <f t="shared" si="10"/>
        <v>1174</v>
      </c>
      <c r="I39">
        <v>400</v>
      </c>
      <c r="J39">
        <f t="shared" si="2"/>
        <v>0.4134491152973615</v>
      </c>
      <c r="K39">
        <f t="shared" si="3"/>
        <v>1</v>
      </c>
      <c r="L39">
        <f t="shared" si="11"/>
        <v>0.33333333333333331</v>
      </c>
      <c r="M39">
        <f t="shared" si="0"/>
        <v>6.4229499297441208</v>
      </c>
      <c r="N39">
        <f t="shared" si="4"/>
        <v>18.523477930751213</v>
      </c>
      <c r="O39">
        <f t="shared" si="5"/>
        <v>2.82327469439302</v>
      </c>
      <c r="P39">
        <f t="shared" si="6"/>
        <v>2.82327469439302</v>
      </c>
      <c r="Q39">
        <f t="shared" si="7"/>
        <v>354.65412056026241</v>
      </c>
    </row>
    <row r="40" spans="1:17" x14ac:dyDescent="0.6">
      <c r="A40">
        <v>39</v>
      </c>
      <c r="B40" s="1" t="s">
        <v>39</v>
      </c>
      <c r="C40" t="s">
        <v>12</v>
      </c>
      <c r="D40">
        <v>120</v>
      </c>
      <c r="E40">
        <v>360</v>
      </c>
      <c r="F40">
        <v>106</v>
      </c>
      <c r="G40">
        <v>49.68</v>
      </c>
      <c r="H40">
        <f t="shared" si="10"/>
        <v>1172</v>
      </c>
      <c r="I40">
        <v>358</v>
      </c>
      <c r="J40">
        <f t="shared" si="2"/>
        <v>0.41522739926869984</v>
      </c>
      <c r="K40">
        <f t="shared" si="3"/>
        <v>1</v>
      </c>
      <c r="L40">
        <f t="shared" si="11"/>
        <v>0.33333333333333331</v>
      </c>
      <c r="M40">
        <f t="shared" si="0"/>
        <v>6.0933453225629686</v>
      </c>
      <c r="N40">
        <f t="shared" si="4"/>
        <v>17.445052672698367</v>
      </c>
      <c r="O40">
        <f t="shared" si="5"/>
        <v>2.6783935483793266</v>
      </c>
      <c r="P40">
        <f t="shared" si="6"/>
        <v>2.6783935483793266</v>
      </c>
      <c r="Q40">
        <f t="shared" si="7"/>
        <v>332.74218730226056</v>
      </c>
    </row>
    <row r="41" spans="1:17" x14ac:dyDescent="0.6">
      <c r="A41">
        <v>40</v>
      </c>
      <c r="B41" s="1" t="s">
        <v>40</v>
      </c>
      <c r="C41" t="s">
        <v>12</v>
      </c>
      <c r="D41">
        <v>120</v>
      </c>
      <c r="E41">
        <v>480</v>
      </c>
      <c r="F41">
        <v>108</v>
      </c>
      <c r="G41">
        <v>51.52</v>
      </c>
      <c r="H41">
        <f t="shared" si="10"/>
        <v>1416</v>
      </c>
      <c r="I41">
        <v>251</v>
      </c>
      <c r="J41">
        <f t="shared" si="2"/>
        <v>0.41169348479630913</v>
      </c>
      <c r="K41">
        <f t="shared" si="3"/>
        <v>1</v>
      </c>
      <c r="L41">
        <f t="shared" si="11"/>
        <v>0.25</v>
      </c>
      <c r="M41">
        <f t="shared" si="0"/>
        <v>7.9780617646142593</v>
      </c>
      <c r="N41">
        <f t="shared" si="4"/>
        <v>15.120281395697221</v>
      </c>
      <c r="O41">
        <f t="shared" si="5"/>
        <v>2.7275424836288069</v>
      </c>
      <c r="P41">
        <f t="shared" si="6"/>
        <v>2.7275424836288069</v>
      </c>
      <c r="Q41">
        <f t="shared" si="7"/>
        <v>417.11761693638613</v>
      </c>
    </row>
    <row r="42" spans="1:17" x14ac:dyDescent="0.6">
      <c r="A42">
        <v>41</v>
      </c>
      <c r="B42" s="1" t="s">
        <v>41</v>
      </c>
      <c r="C42" t="s">
        <v>12</v>
      </c>
      <c r="D42">
        <v>120</v>
      </c>
      <c r="E42">
        <v>480</v>
      </c>
      <c r="F42">
        <v>106</v>
      </c>
      <c r="G42">
        <v>49.68</v>
      </c>
      <c r="H42">
        <f t="shared" si="10"/>
        <v>1412</v>
      </c>
      <c r="I42">
        <v>395</v>
      </c>
      <c r="J42">
        <f t="shared" si="2"/>
        <v>0.41522739926869984</v>
      </c>
      <c r="K42">
        <f t="shared" si="3"/>
        <v>1</v>
      </c>
      <c r="L42">
        <f t="shared" si="11"/>
        <v>0.25</v>
      </c>
      <c r="M42">
        <f t="shared" si="0"/>
        <v>7.8343011290095301</v>
      </c>
      <c r="N42">
        <f t="shared" si="4"/>
        <v>14.627844496583624</v>
      </c>
      <c r="O42">
        <f t="shared" si="5"/>
        <v>2.6783935483793266</v>
      </c>
      <c r="P42">
        <f t="shared" si="6"/>
        <v>2.6783935483793266</v>
      </c>
      <c r="Q42">
        <f t="shared" si="7"/>
        <v>400.88051917303056</v>
      </c>
    </row>
    <row r="43" spans="1:17" x14ac:dyDescent="0.6">
      <c r="A43">
        <v>42</v>
      </c>
      <c r="B43" s="1" t="s">
        <v>42</v>
      </c>
      <c r="C43" t="s">
        <v>12</v>
      </c>
      <c r="D43">
        <v>120</v>
      </c>
      <c r="E43">
        <v>480</v>
      </c>
      <c r="F43">
        <v>107</v>
      </c>
      <c r="G43">
        <v>51.52</v>
      </c>
      <c r="H43">
        <f t="shared" si="10"/>
        <v>1414</v>
      </c>
      <c r="I43">
        <v>404</v>
      </c>
      <c r="J43">
        <f t="shared" si="2"/>
        <v>0.4134491152973615</v>
      </c>
      <c r="K43">
        <f t="shared" si="3"/>
        <v>1</v>
      </c>
      <c r="L43">
        <f t="shared" si="11"/>
        <v>0.25</v>
      </c>
      <c r="M43">
        <f t="shared" si="0"/>
        <v>7.9780617646142593</v>
      </c>
      <c r="N43">
        <f t="shared" si="4"/>
        <v>15.008432974445313</v>
      </c>
      <c r="O43">
        <f t="shared" si="5"/>
        <v>2.7275424836288069</v>
      </c>
      <c r="P43">
        <f t="shared" si="6"/>
        <v>2.7275424836288069</v>
      </c>
      <c r="Q43">
        <f t="shared" si="7"/>
        <v>412.67172268807127</v>
      </c>
    </row>
    <row r="44" spans="1:17" x14ac:dyDescent="0.6">
      <c r="A44">
        <v>43</v>
      </c>
      <c r="B44" s="1" t="s">
        <v>43</v>
      </c>
      <c r="C44" t="s">
        <v>12</v>
      </c>
      <c r="D44">
        <v>120</v>
      </c>
      <c r="E44">
        <v>600</v>
      </c>
      <c r="F44">
        <v>108</v>
      </c>
      <c r="G44">
        <v>52.44</v>
      </c>
      <c r="H44">
        <f t="shared" si="10"/>
        <v>1656</v>
      </c>
      <c r="I44">
        <v>287</v>
      </c>
      <c r="J44">
        <f t="shared" si="2"/>
        <v>0.41169348479630913</v>
      </c>
      <c r="K44">
        <f t="shared" si="3"/>
        <v>1</v>
      </c>
      <c r="L44">
        <f t="shared" si="11"/>
        <v>0.2</v>
      </c>
      <c r="M44">
        <f t="shared" si="0"/>
        <v>9.8376413224918906</v>
      </c>
      <c r="N44">
        <f t="shared" si="4"/>
        <v>13.173475596605014</v>
      </c>
      <c r="O44">
        <f t="shared" si="5"/>
        <v>2.7517877825152142</v>
      </c>
      <c r="P44">
        <f t="shared" si="6"/>
        <v>2.7517877825152142</v>
      </c>
      <c r="Q44">
        <f t="shared" si="7"/>
        <v>492.151741327281</v>
      </c>
    </row>
    <row r="45" spans="1:17" x14ac:dyDescent="0.6">
      <c r="A45">
        <v>44</v>
      </c>
      <c r="B45" s="1" t="s">
        <v>44</v>
      </c>
      <c r="C45" t="s">
        <v>12</v>
      </c>
      <c r="D45">
        <v>120</v>
      </c>
      <c r="E45">
        <v>600</v>
      </c>
      <c r="F45">
        <v>108</v>
      </c>
      <c r="G45">
        <v>61.64</v>
      </c>
      <c r="H45">
        <f t="shared" si="10"/>
        <v>1656</v>
      </c>
      <c r="I45">
        <v>426</v>
      </c>
      <c r="J45">
        <f t="shared" si="2"/>
        <v>0.41169348479630913</v>
      </c>
      <c r="K45">
        <f t="shared" si="3"/>
        <v>1</v>
      </c>
      <c r="L45">
        <f t="shared" si="11"/>
        <v>0.2</v>
      </c>
      <c r="M45">
        <f t="shared" si="0"/>
        <v>10.665739144100609</v>
      </c>
      <c r="N45">
        <f t="shared" si="4"/>
        <v>14.282372138667698</v>
      </c>
      <c r="O45">
        <f t="shared" si="5"/>
        <v>2.9834235368113591</v>
      </c>
      <c r="P45">
        <f t="shared" si="6"/>
        <v>2.9834235368113591</v>
      </c>
      <c r="Q45">
        <f t="shared" si="7"/>
        <v>533.5793327116379</v>
      </c>
    </row>
    <row r="46" spans="1:17" x14ac:dyDescent="0.6">
      <c r="A46">
        <v>45</v>
      </c>
      <c r="B46" s="1" t="s">
        <v>45</v>
      </c>
      <c r="C46" t="s">
        <v>12</v>
      </c>
      <c r="D46">
        <v>120</v>
      </c>
      <c r="E46">
        <v>600</v>
      </c>
      <c r="F46">
        <v>109</v>
      </c>
      <c r="G46">
        <v>57.96</v>
      </c>
      <c r="H46">
        <f t="shared" si="10"/>
        <v>1658</v>
      </c>
      <c r="I46">
        <v>446</v>
      </c>
      <c r="J46">
        <f t="shared" si="2"/>
        <v>0.40996003084539384</v>
      </c>
      <c r="K46">
        <f t="shared" si="3"/>
        <v>1</v>
      </c>
      <c r="L46">
        <f t="shared" si="11"/>
        <v>0.2</v>
      </c>
      <c r="M46">
        <f t="shared" si="0"/>
        <v>10.342459553220404</v>
      </c>
      <c r="N46">
        <f t="shared" si="4"/>
        <v>13.953285869438725</v>
      </c>
      <c r="O46">
        <f t="shared" si="5"/>
        <v>2.8929956792224907</v>
      </c>
      <c r="P46">
        <f t="shared" si="6"/>
        <v>2.8929956792224907</v>
      </c>
      <c r="Q46">
        <f t="shared" si="7"/>
        <v>522.82796514044685</v>
      </c>
    </row>
    <row r="47" spans="1:17" x14ac:dyDescent="0.6">
      <c r="A47">
        <v>46</v>
      </c>
      <c r="B47" s="2" t="s">
        <v>59</v>
      </c>
      <c r="C47" t="s">
        <v>7</v>
      </c>
      <c r="D47">
        <v>250</v>
      </c>
      <c r="F47">
        <v>120</v>
      </c>
      <c r="G47">
        <v>34.96</v>
      </c>
      <c r="H47">
        <f t="shared" ref="H47:H57" si="12">4*D47+2*F47</f>
        <v>1240</v>
      </c>
      <c r="I47">
        <v>365</v>
      </c>
      <c r="J47">
        <f t="shared" si="2"/>
        <v>0.39223227027636809</v>
      </c>
      <c r="K47">
        <f t="shared" si="3"/>
        <v>0.85</v>
      </c>
      <c r="L47">
        <v>1</v>
      </c>
      <c r="M47">
        <f t="shared" si="0"/>
        <v>1.8620564805209321</v>
      </c>
      <c r="N47">
        <f t="shared" si="4"/>
        <v>13.266230352732325</v>
      </c>
      <c r="O47">
        <f t="shared" si="5"/>
        <v>1.9098015184830073</v>
      </c>
      <c r="P47">
        <f t="shared" si="6"/>
        <v>1.9098015184830073</v>
      </c>
      <c r="Q47">
        <f t="shared" si="7"/>
        <v>284.17846595027146</v>
      </c>
    </row>
    <row r="48" spans="1:17" x14ac:dyDescent="0.6">
      <c r="A48">
        <v>47</v>
      </c>
      <c r="B48" s="2" t="s">
        <v>59</v>
      </c>
      <c r="C48" t="s">
        <v>7</v>
      </c>
      <c r="D48">
        <v>250</v>
      </c>
      <c r="F48">
        <v>120</v>
      </c>
      <c r="G48">
        <v>28.024999999999999</v>
      </c>
      <c r="H48">
        <f t="shared" si="12"/>
        <v>1240</v>
      </c>
      <c r="I48">
        <v>199</v>
      </c>
      <c r="J48">
        <f t="shared" si="2"/>
        <v>0.39223227027636809</v>
      </c>
      <c r="K48">
        <f t="shared" si="3"/>
        <v>0.85</v>
      </c>
      <c r="L48">
        <v>1</v>
      </c>
      <c r="M48">
        <f t="shared" si="0"/>
        <v>1.6671702376753925</v>
      </c>
      <c r="N48">
        <f t="shared" si="4"/>
        <v>11.877762378095937</v>
      </c>
      <c r="O48">
        <f t="shared" si="5"/>
        <v>1.7099181924875821</v>
      </c>
      <c r="P48">
        <f t="shared" si="6"/>
        <v>1.7099181924875821</v>
      </c>
      <c r="Q48">
        <f t="shared" si="7"/>
        <v>254.43582704215225</v>
      </c>
    </row>
    <row r="49" spans="1:17" x14ac:dyDescent="0.6">
      <c r="A49">
        <v>48</v>
      </c>
      <c r="B49" s="2" t="s">
        <v>59</v>
      </c>
      <c r="C49" t="s">
        <v>7</v>
      </c>
      <c r="D49">
        <v>250</v>
      </c>
      <c r="F49">
        <v>120</v>
      </c>
      <c r="G49">
        <v>27.454999999999998</v>
      </c>
      <c r="H49">
        <f t="shared" si="12"/>
        <v>1240</v>
      </c>
      <c r="I49">
        <v>249</v>
      </c>
      <c r="J49">
        <f t="shared" si="2"/>
        <v>0.39223227027636809</v>
      </c>
      <c r="K49">
        <f t="shared" si="3"/>
        <v>0.85</v>
      </c>
      <c r="L49">
        <v>1</v>
      </c>
      <c r="M49">
        <f t="shared" si="0"/>
        <v>1.6501288679022543</v>
      </c>
      <c r="N49">
        <f t="shared" si="4"/>
        <v>11.756351057171184</v>
      </c>
      <c r="O49">
        <f t="shared" si="5"/>
        <v>1.6924398645151326</v>
      </c>
      <c r="P49">
        <f t="shared" si="6"/>
        <v>1.6924398645151326</v>
      </c>
      <c r="Q49">
        <f t="shared" si="7"/>
        <v>251.83505183985173</v>
      </c>
    </row>
    <row r="50" spans="1:17" x14ac:dyDescent="0.6">
      <c r="A50">
        <v>49</v>
      </c>
      <c r="B50" s="2" t="s">
        <v>58</v>
      </c>
      <c r="C50" t="s">
        <v>7</v>
      </c>
      <c r="D50">
        <v>250</v>
      </c>
      <c r="F50">
        <v>120</v>
      </c>
      <c r="G50">
        <v>35.625</v>
      </c>
      <c r="H50">
        <f t="shared" si="12"/>
        <v>1240</v>
      </c>
      <c r="I50">
        <v>203</v>
      </c>
      <c r="J50">
        <f t="shared" si="2"/>
        <v>0.39223227027636809</v>
      </c>
      <c r="K50">
        <f t="shared" si="3"/>
        <v>1</v>
      </c>
      <c r="L50">
        <v>1</v>
      </c>
      <c r="M50">
        <f t="shared" si="0"/>
        <v>2.2113915655645435</v>
      </c>
      <c r="N50">
        <f t="shared" si="4"/>
        <v>15.755069846571612</v>
      </c>
      <c r="O50">
        <f t="shared" si="5"/>
        <v>2.2680939133995315</v>
      </c>
      <c r="P50">
        <f t="shared" si="6"/>
        <v>2.2680939133995315</v>
      </c>
      <c r="Q50">
        <f t="shared" si="7"/>
        <v>337.49237431385029</v>
      </c>
    </row>
    <row r="51" spans="1:17" x14ac:dyDescent="0.6">
      <c r="A51">
        <v>50</v>
      </c>
      <c r="B51" s="2" t="s">
        <v>60</v>
      </c>
      <c r="C51" t="s">
        <v>7</v>
      </c>
      <c r="D51">
        <v>400</v>
      </c>
      <c r="F51">
        <v>109</v>
      </c>
      <c r="G51">
        <v>28.31</v>
      </c>
      <c r="H51">
        <f t="shared" si="12"/>
        <v>1818</v>
      </c>
      <c r="I51">
        <v>541</v>
      </c>
      <c r="J51">
        <f t="shared" si="2"/>
        <v>0.40996003084539384</v>
      </c>
      <c r="K51">
        <f t="shared" si="3"/>
        <v>0.85</v>
      </c>
      <c r="L51">
        <v>1</v>
      </c>
      <c r="M51">
        <f t="shared" si="0"/>
        <v>1.6756259313294688</v>
      </c>
      <c r="N51">
        <f t="shared" si="4"/>
        <v>7.6086346764289923</v>
      </c>
      <c r="O51">
        <f t="shared" si="5"/>
        <v>1.7185906987994553</v>
      </c>
      <c r="P51">
        <f t="shared" si="6"/>
        <v>1.7185906987994553</v>
      </c>
      <c r="Q51">
        <f t="shared" si="7"/>
        <v>340.55937005549765</v>
      </c>
    </row>
    <row r="52" spans="1:17" x14ac:dyDescent="0.6">
      <c r="A52">
        <v>51</v>
      </c>
      <c r="B52" s="1" t="s">
        <v>17</v>
      </c>
      <c r="C52" t="s">
        <v>7</v>
      </c>
      <c r="D52">
        <v>200</v>
      </c>
      <c r="F52">
        <v>100</v>
      </c>
      <c r="G52">
        <v>37.43</v>
      </c>
      <c r="H52">
        <f t="shared" si="12"/>
        <v>1000</v>
      </c>
      <c r="I52">
        <v>330</v>
      </c>
      <c r="J52">
        <f t="shared" si="2"/>
        <v>0.42640143271122088</v>
      </c>
      <c r="K52">
        <f t="shared" si="3"/>
        <v>1</v>
      </c>
      <c r="L52">
        <v>1</v>
      </c>
      <c r="M52">
        <f t="shared" si="0"/>
        <v>2.2667213012410681</v>
      </c>
      <c r="N52">
        <f t="shared" si="4"/>
        <v>16.662389916140484</v>
      </c>
      <c r="O52">
        <f t="shared" si="5"/>
        <v>2.3248423602472492</v>
      </c>
      <c r="P52">
        <f t="shared" si="6"/>
        <v>2.3248423602472492</v>
      </c>
      <c r="Q52">
        <f t="shared" si="7"/>
        <v>232.48423602472494</v>
      </c>
    </row>
    <row r="53" spans="1:17" x14ac:dyDescent="0.6">
      <c r="A53">
        <v>52</v>
      </c>
      <c r="B53" s="1" t="s">
        <v>17</v>
      </c>
      <c r="C53" t="s">
        <v>7</v>
      </c>
      <c r="D53">
        <v>200</v>
      </c>
      <c r="F53">
        <v>150</v>
      </c>
      <c r="G53">
        <v>37.43</v>
      </c>
      <c r="H53">
        <f t="shared" si="12"/>
        <v>1100</v>
      </c>
      <c r="I53">
        <v>583</v>
      </c>
      <c r="J53">
        <f t="shared" si="2"/>
        <v>0.35355339059327379</v>
      </c>
      <c r="K53">
        <f t="shared" si="3"/>
        <v>1</v>
      </c>
      <c r="L53">
        <v>1</v>
      </c>
      <c r="M53">
        <f t="shared" si="0"/>
        <v>2.2667213012410681</v>
      </c>
      <c r="N53">
        <f t="shared" si="4"/>
        <v>22.44668669761689</v>
      </c>
      <c r="O53">
        <f t="shared" si="5"/>
        <v>2.3248423602472492</v>
      </c>
      <c r="P53">
        <f t="shared" si="6"/>
        <v>2.3248423602472492</v>
      </c>
      <c r="Q53">
        <f t="shared" si="7"/>
        <v>383.59898944079612</v>
      </c>
    </row>
    <row r="54" spans="1:17" x14ac:dyDescent="0.6">
      <c r="A54">
        <v>53</v>
      </c>
      <c r="B54" s="1" t="s">
        <v>17</v>
      </c>
      <c r="C54" t="s">
        <v>7</v>
      </c>
      <c r="D54">
        <v>200</v>
      </c>
      <c r="F54">
        <v>200</v>
      </c>
      <c r="G54">
        <v>37.43</v>
      </c>
      <c r="H54">
        <f t="shared" si="12"/>
        <v>1200</v>
      </c>
      <c r="I54">
        <v>904</v>
      </c>
      <c r="J54">
        <f t="shared" si="2"/>
        <v>0.30860669992418382</v>
      </c>
      <c r="K54">
        <f t="shared" si="3"/>
        <v>1</v>
      </c>
      <c r="L54">
        <v>1</v>
      </c>
      <c r="M54">
        <f t="shared" si="0"/>
        <v>2.2667213012410681</v>
      </c>
      <c r="N54">
        <f t="shared" si="4"/>
        <v>27.2669340155139</v>
      </c>
      <c r="O54">
        <f t="shared" si="5"/>
        <v>2.3248423602472492</v>
      </c>
      <c r="P54">
        <f t="shared" si="6"/>
        <v>2.3248423602472492</v>
      </c>
      <c r="Q54">
        <f t="shared" si="7"/>
        <v>557.96216645933976</v>
      </c>
    </row>
    <row r="55" spans="1:17" x14ac:dyDescent="0.6">
      <c r="A55">
        <v>54</v>
      </c>
      <c r="B55" s="1" t="s">
        <v>17</v>
      </c>
      <c r="C55" t="s">
        <v>7</v>
      </c>
      <c r="D55">
        <v>200</v>
      </c>
      <c r="F55">
        <v>300</v>
      </c>
      <c r="G55">
        <v>37.43</v>
      </c>
      <c r="H55">
        <f t="shared" si="12"/>
        <v>1400</v>
      </c>
      <c r="I55">
        <v>1381</v>
      </c>
      <c r="J55">
        <f t="shared" si="2"/>
        <v>0.25400025400038101</v>
      </c>
      <c r="K55">
        <f t="shared" si="3"/>
        <v>1</v>
      </c>
      <c r="L55">
        <v>1</v>
      </c>
      <c r="M55">
        <f t="shared" si="0"/>
        <v>2.2667213012410681</v>
      </c>
      <c r="N55">
        <f t="shared" si="4"/>
        <v>34.841608372209194</v>
      </c>
      <c r="O55">
        <f t="shared" si="5"/>
        <v>2.3248423602472492</v>
      </c>
      <c r="P55">
        <f t="shared" si="6"/>
        <v>2.3248423602472492</v>
      </c>
      <c r="Q55">
        <f t="shared" si="7"/>
        <v>976.4337913038446</v>
      </c>
    </row>
    <row r="56" spans="1:17" x14ac:dyDescent="0.6">
      <c r="A56">
        <v>55</v>
      </c>
      <c r="B56" s="1" t="s">
        <v>17</v>
      </c>
      <c r="C56" t="s">
        <v>7</v>
      </c>
      <c r="D56">
        <v>300</v>
      </c>
      <c r="F56">
        <v>400</v>
      </c>
      <c r="G56">
        <v>37.43</v>
      </c>
      <c r="H56">
        <f t="shared" si="12"/>
        <v>2000</v>
      </c>
      <c r="I56">
        <v>2224</v>
      </c>
      <c r="J56">
        <f t="shared" si="2"/>
        <v>0.2208630521496931</v>
      </c>
      <c r="K56">
        <f t="shared" si="3"/>
        <v>1</v>
      </c>
      <c r="L56">
        <v>1</v>
      </c>
      <c r="M56">
        <f t="shared" si="0"/>
        <v>2.2667213012410681</v>
      </c>
      <c r="N56">
        <f t="shared" si="4"/>
        <v>32.569206065200611</v>
      </c>
      <c r="O56">
        <f t="shared" si="5"/>
        <v>2.3248423602472492</v>
      </c>
      <c r="P56">
        <f t="shared" si="6"/>
        <v>2.3248423602472492</v>
      </c>
      <c r="Q56">
        <f t="shared" si="7"/>
        <v>1859.8738881977995</v>
      </c>
    </row>
    <row r="57" spans="1:17" x14ac:dyDescent="0.6">
      <c r="A57">
        <v>56</v>
      </c>
      <c r="B57" s="1" t="s">
        <v>17</v>
      </c>
      <c r="C57" t="s">
        <v>7</v>
      </c>
      <c r="D57">
        <v>300</v>
      </c>
      <c r="F57">
        <v>500</v>
      </c>
      <c r="G57">
        <v>37.43</v>
      </c>
      <c r="H57">
        <f t="shared" si="12"/>
        <v>2200</v>
      </c>
      <c r="I57">
        <v>2681</v>
      </c>
      <c r="J57">
        <f t="shared" si="2"/>
        <v>0.19802950859533486</v>
      </c>
      <c r="K57">
        <f t="shared" si="3"/>
        <v>1</v>
      </c>
      <c r="L57">
        <v>1</v>
      </c>
      <c r="M57">
        <f t="shared" si="0"/>
        <v>2.2667213012410681</v>
      </c>
      <c r="N57">
        <f t="shared" si="4"/>
        <v>36.907428651307917</v>
      </c>
      <c r="O57">
        <f t="shared" si="5"/>
        <v>2.3248423602472492</v>
      </c>
      <c r="P57">
        <f t="shared" si="6"/>
        <v>2.3248423602472492</v>
      </c>
      <c r="Q57">
        <f t="shared" si="7"/>
        <v>2557.3265962719738</v>
      </c>
    </row>
    <row r="58" spans="1:17" x14ac:dyDescent="0.6">
      <c r="A58">
        <v>57</v>
      </c>
      <c r="B58" s="1" t="s">
        <v>20</v>
      </c>
      <c r="C58" t="s">
        <v>10</v>
      </c>
      <c r="D58">
        <v>150</v>
      </c>
      <c r="F58">
        <v>90</v>
      </c>
      <c r="G58">
        <v>31.824999999999999</v>
      </c>
      <c r="H58">
        <f t="shared" ref="H58:H74" si="13">PI()*(D58+F58)</f>
        <v>753.98223686155029</v>
      </c>
      <c r="I58">
        <v>240</v>
      </c>
      <c r="J58">
        <f t="shared" si="2"/>
        <v>0.44721359549995793</v>
      </c>
      <c r="K58">
        <f t="shared" si="3"/>
        <v>0.85</v>
      </c>
      <c r="L58">
        <v>1</v>
      </c>
      <c r="M58">
        <f t="shared" si="0"/>
        <v>1.7766068987723831</v>
      </c>
      <c r="N58">
        <f t="shared" si="4"/>
        <v>15.474084924369079</v>
      </c>
      <c r="O58">
        <f t="shared" si="5"/>
        <v>1.822160921817829</v>
      </c>
      <c r="P58">
        <f t="shared" si="6"/>
        <v>1.822160921817829</v>
      </c>
      <c r="Q58">
        <f t="shared" si="7"/>
        <v>123.64892709785201</v>
      </c>
    </row>
    <row r="59" spans="1:17" x14ac:dyDescent="0.6">
      <c r="A59">
        <v>58</v>
      </c>
      <c r="B59" s="1" t="s">
        <v>20</v>
      </c>
      <c r="C59" t="s">
        <v>10</v>
      </c>
      <c r="D59">
        <v>230</v>
      </c>
      <c r="F59">
        <v>90</v>
      </c>
      <c r="G59">
        <v>31.824999999999999</v>
      </c>
      <c r="H59">
        <f t="shared" si="13"/>
        <v>1005.3096491487338</v>
      </c>
      <c r="I59">
        <v>265</v>
      </c>
      <c r="J59">
        <f t="shared" si="2"/>
        <v>0.44721359549995793</v>
      </c>
      <c r="K59">
        <f t="shared" si="3"/>
        <v>0.85</v>
      </c>
      <c r="L59">
        <v>1</v>
      </c>
      <c r="M59">
        <f t="shared" si="0"/>
        <v>1.7766068987723831</v>
      </c>
      <c r="N59">
        <f t="shared" si="4"/>
        <v>11.753614268174504</v>
      </c>
      <c r="O59">
        <f t="shared" si="5"/>
        <v>1.822160921817829</v>
      </c>
      <c r="P59">
        <f t="shared" si="6"/>
        <v>1.822160921817829</v>
      </c>
      <c r="Q59">
        <f t="shared" si="7"/>
        <v>164.86523613046936</v>
      </c>
    </row>
    <row r="60" spans="1:17" x14ac:dyDescent="0.6">
      <c r="A60">
        <v>59</v>
      </c>
      <c r="B60" s="1" t="s">
        <v>20</v>
      </c>
      <c r="C60" t="s">
        <v>10</v>
      </c>
      <c r="D60">
        <v>150</v>
      </c>
      <c r="F60">
        <v>88</v>
      </c>
      <c r="G60">
        <v>33.344999999999999</v>
      </c>
      <c r="H60">
        <f t="shared" si="13"/>
        <v>747.69905155437073</v>
      </c>
      <c r="I60">
        <v>294</v>
      </c>
      <c r="J60">
        <f t="shared" si="2"/>
        <v>0.45175395145262559</v>
      </c>
      <c r="K60">
        <f t="shared" si="3"/>
        <v>0.85</v>
      </c>
      <c r="L60">
        <v>1</v>
      </c>
      <c r="M60">
        <f t="shared" si="0"/>
        <v>1.8185384959674693</v>
      </c>
      <c r="N60">
        <f t="shared" si="4"/>
        <v>15.625956230826766</v>
      </c>
      <c r="O60">
        <f t="shared" si="5"/>
        <v>1.8651676881717634</v>
      </c>
      <c r="P60">
        <f t="shared" si="6"/>
        <v>1.8651676881717634</v>
      </c>
      <c r="Q60">
        <f t="shared" si="7"/>
        <v>122.72340180635794</v>
      </c>
    </row>
    <row r="61" spans="1:17" x14ac:dyDescent="0.6">
      <c r="A61">
        <v>60</v>
      </c>
      <c r="B61" s="1" t="s">
        <v>20</v>
      </c>
      <c r="C61" t="s">
        <v>10</v>
      </c>
      <c r="D61">
        <v>150</v>
      </c>
      <c r="F61">
        <v>86</v>
      </c>
      <c r="G61">
        <v>33.344999999999999</v>
      </c>
      <c r="H61">
        <f t="shared" si="13"/>
        <v>741.41586624719116</v>
      </c>
      <c r="I61">
        <v>313</v>
      </c>
      <c r="J61">
        <f t="shared" si="2"/>
        <v>0.45643546458763845</v>
      </c>
      <c r="K61">
        <f t="shared" si="3"/>
        <v>0.85</v>
      </c>
      <c r="L61">
        <v>1</v>
      </c>
      <c r="M61">
        <f t="shared" si="0"/>
        <v>1.8185384959674693</v>
      </c>
      <c r="N61">
        <f t="shared" si="4"/>
        <v>15.408991043054648</v>
      </c>
      <c r="O61">
        <f t="shared" si="5"/>
        <v>1.8651676881717634</v>
      </c>
      <c r="P61">
        <f t="shared" si="6"/>
        <v>1.8651676881717634</v>
      </c>
      <c r="Q61">
        <f t="shared" si="7"/>
        <v>118.92638288110396</v>
      </c>
    </row>
    <row r="62" spans="1:17" x14ac:dyDescent="0.6">
      <c r="A62">
        <v>61</v>
      </c>
      <c r="B62" s="1" t="s">
        <v>20</v>
      </c>
      <c r="C62" t="s">
        <v>10</v>
      </c>
      <c r="D62">
        <v>150</v>
      </c>
      <c r="F62">
        <v>96</v>
      </c>
      <c r="G62">
        <v>28.88</v>
      </c>
      <c r="H62">
        <f t="shared" si="13"/>
        <v>772.8317927830891</v>
      </c>
      <c r="I62">
        <v>181</v>
      </c>
      <c r="J62">
        <f t="shared" si="2"/>
        <v>0.4343722427630694</v>
      </c>
      <c r="K62">
        <f t="shared" si="3"/>
        <v>0.85</v>
      </c>
      <c r="L62">
        <v>1</v>
      </c>
      <c r="M62">
        <f t="shared" si="0"/>
        <v>1.6924105832953185</v>
      </c>
      <c r="N62">
        <f t="shared" si="4"/>
        <v>15.317027442732348</v>
      </c>
      <c r="O62">
        <f t="shared" si="5"/>
        <v>1.735805726456737</v>
      </c>
      <c r="P62">
        <f t="shared" si="6"/>
        <v>1.735805726456737</v>
      </c>
      <c r="Q62">
        <f t="shared" si="7"/>
        <v>128.7826417440684</v>
      </c>
    </row>
    <row r="63" spans="1:17" x14ac:dyDescent="0.6">
      <c r="A63">
        <v>62</v>
      </c>
      <c r="B63" s="1" t="s">
        <v>20</v>
      </c>
      <c r="C63" t="s">
        <v>10</v>
      </c>
      <c r="D63">
        <v>230</v>
      </c>
      <c r="F63">
        <v>96</v>
      </c>
      <c r="G63">
        <v>28.88</v>
      </c>
      <c r="H63">
        <f t="shared" si="13"/>
        <v>1024.1592050702725</v>
      </c>
      <c r="I63">
        <v>189</v>
      </c>
      <c r="J63">
        <f t="shared" si="2"/>
        <v>0.4343722427630694</v>
      </c>
      <c r="K63">
        <f t="shared" si="3"/>
        <v>0.85</v>
      </c>
      <c r="L63">
        <v>1</v>
      </c>
      <c r="M63">
        <f t="shared" si="0"/>
        <v>1.6924105832953185</v>
      </c>
      <c r="N63">
        <f t="shared" si="4"/>
        <v>11.696686195705622</v>
      </c>
      <c r="O63">
        <f t="shared" si="5"/>
        <v>1.735805726456737</v>
      </c>
      <c r="P63">
        <f t="shared" si="6"/>
        <v>1.735805726456737</v>
      </c>
      <c r="Q63">
        <f t="shared" si="7"/>
        <v>170.66317564457844</v>
      </c>
    </row>
    <row r="64" spans="1:17" x14ac:dyDescent="0.6">
      <c r="A64">
        <v>63</v>
      </c>
      <c r="B64" s="1" t="s">
        <v>20</v>
      </c>
      <c r="C64" t="s">
        <v>10</v>
      </c>
      <c r="D64">
        <v>150</v>
      </c>
      <c r="F64">
        <v>95</v>
      </c>
      <c r="G64">
        <v>28.12</v>
      </c>
      <c r="H64">
        <f t="shared" si="13"/>
        <v>769.69020012949932</v>
      </c>
      <c r="I64">
        <v>255</v>
      </c>
      <c r="J64">
        <f t="shared" si="2"/>
        <v>0.43643578047198472</v>
      </c>
      <c r="K64">
        <f t="shared" si="3"/>
        <v>0.85</v>
      </c>
      <c r="L64">
        <v>1</v>
      </c>
      <c r="M64">
        <f t="shared" si="0"/>
        <v>1.6699935593214126</v>
      </c>
      <c r="N64">
        <f t="shared" si="4"/>
        <v>15.021302881549651</v>
      </c>
      <c r="O64">
        <f t="shared" si="5"/>
        <v>1.7128139069963206</v>
      </c>
      <c r="P64">
        <f t="shared" si="6"/>
        <v>1.7128139069963206</v>
      </c>
      <c r="Q64">
        <f t="shared" si="7"/>
        <v>125.24192749175582</v>
      </c>
    </row>
    <row r="65" spans="1:17" x14ac:dyDescent="0.6">
      <c r="A65">
        <v>64</v>
      </c>
      <c r="B65" s="1" t="s">
        <v>20</v>
      </c>
      <c r="C65" t="s">
        <v>10</v>
      </c>
      <c r="D65">
        <v>230</v>
      </c>
      <c r="F65">
        <v>95</v>
      </c>
      <c r="G65">
        <v>28.12</v>
      </c>
      <c r="H65">
        <f t="shared" si="13"/>
        <v>1021.0176124166827</v>
      </c>
      <c r="I65">
        <v>273</v>
      </c>
      <c r="J65">
        <f t="shared" si="2"/>
        <v>0.43643578047198472</v>
      </c>
      <c r="K65">
        <f t="shared" si="3"/>
        <v>0.85</v>
      </c>
      <c r="L65">
        <v>1</v>
      </c>
      <c r="M65">
        <f t="shared" si="0"/>
        <v>1.6699935593214126</v>
      </c>
      <c r="N65">
        <f t="shared" si="4"/>
        <v>11.460776515574057</v>
      </c>
      <c r="O65">
        <f t="shared" si="5"/>
        <v>1.7128139069963206</v>
      </c>
      <c r="P65">
        <f t="shared" si="6"/>
        <v>1.7128139069963206</v>
      </c>
      <c r="Q65">
        <f t="shared" si="7"/>
        <v>166.13725075436994</v>
      </c>
    </row>
    <row r="66" spans="1:17" x14ac:dyDescent="0.6">
      <c r="A66">
        <v>65</v>
      </c>
      <c r="B66" s="1" t="s">
        <v>20</v>
      </c>
      <c r="C66" t="s">
        <v>10</v>
      </c>
      <c r="D66">
        <v>150</v>
      </c>
      <c r="F66">
        <v>126</v>
      </c>
      <c r="G66">
        <v>26.6</v>
      </c>
      <c r="H66">
        <f t="shared" si="13"/>
        <v>867.07957239078291</v>
      </c>
      <c r="I66">
        <v>347</v>
      </c>
      <c r="J66">
        <f t="shared" si="2"/>
        <v>0.38348249442368521</v>
      </c>
      <c r="K66">
        <f t="shared" si="3"/>
        <v>0.85</v>
      </c>
      <c r="L66">
        <v>1</v>
      </c>
      <c r="M66">
        <f t="shared" ref="M66:M129" si="14">0.19*(1+2/L66)*K66*0.65*(G66)^0.5</f>
        <v>1.6242316028279344</v>
      </c>
      <c r="N66">
        <f t="shared" si="4"/>
        <v>17.104627176957582</v>
      </c>
      <c r="O66">
        <f t="shared" si="5"/>
        <v>1.6658785670030096</v>
      </c>
      <c r="P66">
        <f t="shared" si="6"/>
        <v>1.6658785670030096</v>
      </c>
      <c r="Q66">
        <f t="shared" si="7"/>
        <v>182.00060871702442</v>
      </c>
    </row>
    <row r="67" spans="1:17" x14ac:dyDescent="0.6">
      <c r="A67">
        <v>66</v>
      </c>
      <c r="B67" s="1" t="s">
        <v>20</v>
      </c>
      <c r="C67" t="s">
        <v>10</v>
      </c>
      <c r="D67">
        <v>230</v>
      </c>
      <c r="F67">
        <v>126</v>
      </c>
      <c r="G67">
        <v>26.6</v>
      </c>
      <c r="H67">
        <f t="shared" si="13"/>
        <v>1118.4069846779664</v>
      </c>
      <c r="I67">
        <v>343</v>
      </c>
      <c r="J67">
        <f t="shared" ref="J67:J130" si="15">(2/(1+F67/10))^0.5</f>
        <v>0.38348249442368521</v>
      </c>
      <c r="K67">
        <f t="shared" ref="K67:K130" si="16">IF(G67&lt;24, 0.75, IF(G67&lt;35, 0.85, 1))</f>
        <v>0.85</v>
      </c>
      <c r="L67">
        <v>1</v>
      </c>
      <c r="M67">
        <f t="shared" si="14"/>
        <v>1.6242316028279344</v>
      </c>
      <c r="N67">
        <f t="shared" ref="N67:N130" si="17">(40*F67/H67+0.19)*K67*0.65*(G67)^0.5</f>
        <v>13.382556021298793</v>
      </c>
      <c r="O67">
        <f t="shared" ref="O67:O130" si="18">0.38*K67*(G67)^0.5</f>
        <v>1.6658785670030096</v>
      </c>
      <c r="P67">
        <f t="shared" ref="P67:P130" si="19">O67</f>
        <v>1.6658785670030096</v>
      </c>
      <c r="Q67">
        <f t="shared" ref="Q67:Q130" si="20">P67*H67*F67/1000</f>
        <v>234.75440834514745</v>
      </c>
    </row>
    <row r="68" spans="1:17" x14ac:dyDescent="0.6">
      <c r="A68">
        <v>67</v>
      </c>
      <c r="B68" s="1" t="s">
        <v>20</v>
      </c>
      <c r="C68" t="s">
        <v>10</v>
      </c>
      <c r="D68">
        <v>150</v>
      </c>
      <c r="F68">
        <v>95</v>
      </c>
      <c r="G68">
        <v>25.84</v>
      </c>
      <c r="H68">
        <f t="shared" si="13"/>
        <v>769.69020012949932</v>
      </c>
      <c r="I68">
        <v>142</v>
      </c>
      <c r="J68">
        <f t="shared" si="15"/>
        <v>0.43643578047198472</v>
      </c>
      <c r="K68">
        <f t="shared" si="16"/>
        <v>0.85</v>
      </c>
      <c r="L68">
        <v>1</v>
      </c>
      <c r="M68">
        <f t="shared" si="14"/>
        <v>1.6008601454686791</v>
      </c>
      <c r="N68">
        <f t="shared" si="17"/>
        <v>14.399459795436549</v>
      </c>
      <c r="O68">
        <f t="shared" si="18"/>
        <v>1.6419078415063375</v>
      </c>
      <c r="P68">
        <f t="shared" si="19"/>
        <v>1.6419078415063375</v>
      </c>
      <c r="Q68">
        <f t="shared" si="20"/>
        <v>120.05723563670469</v>
      </c>
    </row>
    <row r="69" spans="1:17" x14ac:dyDescent="0.6">
      <c r="A69">
        <v>68</v>
      </c>
      <c r="B69" s="1" t="s">
        <v>20</v>
      </c>
      <c r="C69" t="s">
        <v>10</v>
      </c>
      <c r="D69">
        <v>230</v>
      </c>
      <c r="F69">
        <v>95</v>
      </c>
      <c r="G69">
        <v>25.84</v>
      </c>
      <c r="H69">
        <f t="shared" si="13"/>
        <v>1021.0176124166827</v>
      </c>
      <c r="I69">
        <v>150</v>
      </c>
      <c r="J69">
        <f t="shared" si="15"/>
        <v>0.43643578047198472</v>
      </c>
      <c r="K69">
        <f t="shared" si="16"/>
        <v>0.85</v>
      </c>
      <c r="L69">
        <v>1</v>
      </c>
      <c r="M69">
        <f t="shared" si="14"/>
        <v>1.6008601454686791</v>
      </c>
      <c r="N69">
        <f t="shared" si="17"/>
        <v>10.986330011572674</v>
      </c>
      <c r="O69">
        <f t="shared" si="18"/>
        <v>1.6419078415063375</v>
      </c>
      <c r="P69">
        <f t="shared" si="19"/>
        <v>1.6419078415063375</v>
      </c>
      <c r="Q69">
        <f t="shared" si="20"/>
        <v>159.25959829358783</v>
      </c>
    </row>
    <row r="70" spans="1:17" x14ac:dyDescent="0.6">
      <c r="A70">
        <v>69</v>
      </c>
      <c r="B70" s="1" t="s">
        <v>20</v>
      </c>
      <c r="C70" t="s">
        <v>10</v>
      </c>
      <c r="D70">
        <v>150</v>
      </c>
      <c r="F70">
        <v>95</v>
      </c>
      <c r="G70">
        <v>91.864999999999995</v>
      </c>
      <c r="H70">
        <f t="shared" si="13"/>
        <v>769.69020012949932</v>
      </c>
      <c r="I70">
        <v>207</v>
      </c>
      <c r="J70">
        <f t="shared" si="15"/>
        <v>0.43643578047198472</v>
      </c>
      <c r="K70">
        <f t="shared" si="16"/>
        <v>1</v>
      </c>
      <c r="L70">
        <v>1</v>
      </c>
      <c r="M70">
        <f t="shared" si="14"/>
        <v>3.5511028591481271</v>
      </c>
      <c r="N70">
        <f t="shared" si="17"/>
        <v>31.941555291073154</v>
      </c>
      <c r="O70">
        <f t="shared" si="18"/>
        <v>3.642156778613463</v>
      </c>
      <c r="P70">
        <f t="shared" si="19"/>
        <v>3.642156778613463</v>
      </c>
      <c r="Q70">
        <f t="shared" si="20"/>
        <v>266.31657608423086</v>
      </c>
    </row>
    <row r="71" spans="1:17" x14ac:dyDescent="0.6">
      <c r="A71">
        <v>70</v>
      </c>
      <c r="B71" s="1" t="s">
        <v>20</v>
      </c>
      <c r="C71" t="s">
        <v>10</v>
      </c>
      <c r="D71">
        <v>150</v>
      </c>
      <c r="F71">
        <v>89</v>
      </c>
      <c r="G71">
        <v>27.835000000000001</v>
      </c>
      <c r="H71">
        <f t="shared" si="13"/>
        <v>750.84064420796051</v>
      </c>
      <c r="I71">
        <v>231</v>
      </c>
      <c r="J71">
        <f t="shared" si="15"/>
        <v>0.44946657497549469</v>
      </c>
      <c r="K71">
        <f t="shared" si="16"/>
        <v>0.85</v>
      </c>
      <c r="L71">
        <v>1</v>
      </c>
      <c r="M71">
        <f t="shared" si="14"/>
        <v>1.6615092018468858</v>
      </c>
      <c r="N71">
        <f t="shared" si="17"/>
        <v>14.374538929883801</v>
      </c>
      <c r="O71">
        <f t="shared" si="18"/>
        <v>1.7041120018942417</v>
      </c>
      <c r="P71">
        <f t="shared" si="19"/>
        <v>1.7041120018942417</v>
      </c>
      <c r="Q71">
        <f t="shared" si="20"/>
        <v>113.87697324412628</v>
      </c>
    </row>
    <row r="72" spans="1:17" x14ac:dyDescent="0.6">
      <c r="A72">
        <v>71</v>
      </c>
      <c r="B72" s="1" t="s">
        <v>20</v>
      </c>
      <c r="C72" t="s">
        <v>10</v>
      </c>
      <c r="D72">
        <v>80</v>
      </c>
      <c r="F72">
        <v>89</v>
      </c>
      <c r="G72">
        <v>27.835000000000001</v>
      </c>
      <c r="H72">
        <f t="shared" si="13"/>
        <v>530.92915845667505</v>
      </c>
      <c r="I72">
        <v>171</v>
      </c>
      <c r="J72">
        <f t="shared" si="15"/>
        <v>0.44946657497549469</v>
      </c>
      <c r="K72">
        <f t="shared" si="16"/>
        <v>0.85</v>
      </c>
      <c r="L72">
        <v>1</v>
      </c>
      <c r="M72">
        <f t="shared" si="14"/>
        <v>1.6615092018468858</v>
      </c>
      <c r="N72">
        <f t="shared" si="17"/>
        <v>20.099090273367658</v>
      </c>
      <c r="O72">
        <f t="shared" si="18"/>
        <v>1.7041120018942417</v>
      </c>
      <c r="P72">
        <f t="shared" si="19"/>
        <v>1.7041120018942417</v>
      </c>
      <c r="Q72">
        <f t="shared" si="20"/>
        <v>80.523884846265034</v>
      </c>
    </row>
    <row r="73" spans="1:17" x14ac:dyDescent="0.6">
      <c r="A73">
        <v>72</v>
      </c>
      <c r="B73" s="1" t="s">
        <v>20</v>
      </c>
      <c r="C73" t="s">
        <v>10</v>
      </c>
      <c r="D73">
        <v>150</v>
      </c>
      <c r="F73">
        <v>122</v>
      </c>
      <c r="G73">
        <v>24.984999999999999</v>
      </c>
      <c r="H73">
        <f t="shared" si="13"/>
        <v>854.51320177642378</v>
      </c>
      <c r="I73">
        <v>237</v>
      </c>
      <c r="J73">
        <f t="shared" si="15"/>
        <v>0.38924947208076149</v>
      </c>
      <c r="K73">
        <f t="shared" si="16"/>
        <v>0.85</v>
      </c>
      <c r="L73">
        <v>1</v>
      </c>
      <c r="M73">
        <f t="shared" si="14"/>
        <v>1.5741525416206095</v>
      </c>
      <c r="N73">
        <f t="shared" si="17"/>
        <v>16.296217667593886</v>
      </c>
      <c r="O73">
        <f t="shared" si="18"/>
        <v>1.6145154273031892</v>
      </c>
      <c r="P73">
        <f t="shared" si="19"/>
        <v>1.6145154273031892</v>
      </c>
      <c r="Q73">
        <f t="shared" si="20"/>
        <v>168.31421914647805</v>
      </c>
    </row>
    <row r="74" spans="1:17" x14ac:dyDescent="0.6">
      <c r="A74">
        <v>73</v>
      </c>
      <c r="B74" s="1" t="s">
        <v>20</v>
      </c>
      <c r="C74" t="s">
        <v>10</v>
      </c>
      <c r="D74">
        <v>80</v>
      </c>
      <c r="F74">
        <v>122</v>
      </c>
      <c r="G74">
        <v>24.984999999999999</v>
      </c>
      <c r="H74">
        <f t="shared" si="13"/>
        <v>634.60171602513822</v>
      </c>
      <c r="I74">
        <v>217</v>
      </c>
      <c r="J74">
        <f t="shared" si="15"/>
        <v>0.38924947208076149</v>
      </c>
      <c r="K74">
        <f t="shared" si="16"/>
        <v>0.85</v>
      </c>
      <c r="L74">
        <v>1</v>
      </c>
      <c r="M74">
        <f t="shared" si="14"/>
        <v>1.5741525416206095</v>
      </c>
      <c r="N74">
        <f t="shared" si="17"/>
        <v>21.761589007992033</v>
      </c>
      <c r="O74">
        <f t="shared" si="18"/>
        <v>1.6145154273031892</v>
      </c>
      <c r="P74">
        <f t="shared" si="19"/>
        <v>1.6145154273031892</v>
      </c>
      <c r="Q74">
        <f t="shared" si="20"/>
        <v>124.9980598073109</v>
      </c>
    </row>
    <row r="75" spans="1:17" x14ac:dyDescent="0.6">
      <c r="A75">
        <v>74</v>
      </c>
      <c r="B75" s="2" t="s">
        <v>61</v>
      </c>
      <c r="C75" t="s">
        <v>7</v>
      </c>
      <c r="D75">
        <v>225</v>
      </c>
      <c r="F75">
        <v>125</v>
      </c>
      <c r="G75">
        <v>28.5</v>
      </c>
      <c r="H75">
        <f t="shared" ref="H75:H86" si="21">4*D75+2*F75</f>
        <v>1150</v>
      </c>
      <c r="I75">
        <v>306</v>
      </c>
      <c r="J75">
        <f t="shared" si="15"/>
        <v>0.38490017945975052</v>
      </c>
      <c r="K75">
        <f t="shared" si="16"/>
        <v>0.85</v>
      </c>
      <c r="L75">
        <v>1</v>
      </c>
      <c r="M75">
        <f t="shared" si="14"/>
        <v>1.6812394342604804</v>
      </c>
      <c r="N75">
        <f t="shared" si="17"/>
        <v>13.384512567030233</v>
      </c>
      <c r="O75">
        <f t="shared" si="18"/>
        <v>1.7243481377030567</v>
      </c>
      <c r="P75">
        <f t="shared" si="19"/>
        <v>1.7243481377030567</v>
      </c>
      <c r="Q75">
        <f t="shared" si="20"/>
        <v>247.87504479481441</v>
      </c>
    </row>
    <row r="76" spans="1:17" x14ac:dyDescent="0.6">
      <c r="A76">
        <v>75</v>
      </c>
      <c r="B76" s="2" t="s">
        <v>62</v>
      </c>
      <c r="C76" t="s">
        <v>7</v>
      </c>
      <c r="D76">
        <v>225</v>
      </c>
      <c r="F76">
        <v>125</v>
      </c>
      <c r="G76">
        <v>28.5</v>
      </c>
      <c r="H76">
        <f t="shared" si="21"/>
        <v>1150</v>
      </c>
      <c r="I76">
        <v>349</v>
      </c>
      <c r="J76">
        <f t="shared" si="15"/>
        <v>0.38490017945975052</v>
      </c>
      <c r="K76">
        <f t="shared" si="16"/>
        <v>0.85</v>
      </c>
      <c r="L76">
        <v>1</v>
      </c>
      <c r="M76">
        <f t="shared" si="14"/>
        <v>1.6812394342604804</v>
      </c>
      <c r="N76">
        <f t="shared" si="17"/>
        <v>13.384512567030233</v>
      </c>
      <c r="O76">
        <f t="shared" si="18"/>
        <v>1.7243481377030567</v>
      </c>
      <c r="P76">
        <f t="shared" si="19"/>
        <v>1.7243481377030567</v>
      </c>
      <c r="Q76">
        <f t="shared" si="20"/>
        <v>247.87504479481441</v>
      </c>
    </row>
    <row r="77" spans="1:17" x14ac:dyDescent="0.6">
      <c r="A77">
        <v>76</v>
      </c>
      <c r="B77" t="s">
        <v>13</v>
      </c>
      <c r="C77" t="s">
        <v>7</v>
      </c>
      <c r="D77">
        <v>100</v>
      </c>
      <c r="F77">
        <v>60</v>
      </c>
      <c r="G77">
        <v>37.049999999999997</v>
      </c>
      <c r="H77">
        <f t="shared" si="21"/>
        <v>520</v>
      </c>
      <c r="I77">
        <v>120</v>
      </c>
      <c r="J77">
        <f t="shared" si="15"/>
        <v>0.53452248382484879</v>
      </c>
      <c r="K77">
        <f t="shared" si="16"/>
        <v>1</v>
      </c>
      <c r="L77">
        <v>1</v>
      </c>
      <c r="M77">
        <f t="shared" si="14"/>
        <v>2.2551857490016207</v>
      </c>
      <c r="N77">
        <f t="shared" si="17"/>
        <v>19.012341935240382</v>
      </c>
      <c r="O77">
        <f t="shared" si="18"/>
        <v>2.3130110246170466</v>
      </c>
      <c r="P77">
        <f t="shared" si="19"/>
        <v>2.3130110246170466</v>
      </c>
      <c r="Q77">
        <f t="shared" si="20"/>
        <v>72.165943968051849</v>
      </c>
    </row>
    <row r="78" spans="1:17" x14ac:dyDescent="0.6">
      <c r="A78">
        <v>77</v>
      </c>
      <c r="B78" t="s">
        <v>13</v>
      </c>
      <c r="C78" t="s">
        <v>7</v>
      </c>
      <c r="D78">
        <v>100</v>
      </c>
      <c r="F78">
        <v>60</v>
      </c>
      <c r="G78">
        <v>37.049999999999997</v>
      </c>
      <c r="H78">
        <f t="shared" si="21"/>
        <v>520</v>
      </c>
      <c r="I78">
        <v>170</v>
      </c>
      <c r="J78">
        <f t="shared" si="15"/>
        <v>0.53452248382484879</v>
      </c>
      <c r="K78">
        <f t="shared" si="16"/>
        <v>1</v>
      </c>
      <c r="L78">
        <v>1</v>
      </c>
      <c r="M78">
        <f t="shared" si="14"/>
        <v>2.2551857490016207</v>
      </c>
      <c r="N78">
        <f t="shared" si="17"/>
        <v>19.012341935240382</v>
      </c>
      <c r="O78">
        <f t="shared" si="18"/>
        <v>2.3130110246170466</v>
      </c>
      <c r="P78">
        <f t="shared" si="19"/>
        <v>2.3130110246170466</v>
      </c>
      <c r="Q78">
        <f t="shared" si="20"/>
        <v>72.165943968051849</v>
      </c>
    </row>
    <row r="79" spans="1:17" x14ac:dyDescent="0.6">
      <c r="A79">
        <v>78</v>
      </c>
      <c r="B79" t="s">
        <v>13</v>
      </c>
      <c r="C79" t="s">
        <v>7</v>
      </c>
      <c r="D79">
        <v>100</v>
      </c>
      <c r="F79">
        <v>60</v>
      </c>
      <c r="G79">
        <v>37.049999999999997</v>
      </c>
      <c r="H79">
        <f t="shared" si="21"/>
        <v>520</v>
      </c>
      <c r="I79">
        <v>135</v>
      </c>
      <c r="J79">
        <f t="shared" si="15"/>
        <v>0.53452248382484879</v>
      </c>
      <c r="K79">
        <f t="shared" si="16"/>
        <v>1</v>
      </c>
      <c r="L79">
        <v>1</v>
      </c>
      <c r="M79">
        <f t="shared" si="14"/>
        <v>2.2551857490016207</v>
      </c>
      <c r="N79">
        <f t="shared" si="17"/>
        <v>19.012341935240382</v>
      </c>
      <c r="O79">
        <f t="shared" si="18"/>
        <v>2.3130110246170466</v>
      </c>
      <c r="P79">
        <f t="shared" si="19"/>
        <v>2.3130110246170466</v>
      </c>
      <c r="Q79">
        <f t="shared" si="20"/>
        <v>72.165943968051849</v>
      </c>
    </row>
    <row r="80" spans="1:17" x14ac:dyDescent="0.6">
      <c r="A80">
        <v>79</v>
      </c>
      <c r="B80" t="s">
        <v>13</v>
      </c>
      <c r="C80" t="s">
        <v>7</v>
      </c>
      <c r="D80">
        <v>100</v>
      </c>
      <c r="F80">
        <v>75</v>
      </c>
      <c r="G80">
        <v>27.645</v>
      </c>
      <c r="H80">
        <f t="shared" si="21"/>
        <v>550</v>
      </c>
      <c r="I80">
        <v>180</v>
      </c>
      <c r="J80">
        <f t="shared" si="15"/>
        <v>0.48507125007266594</v>
      </c>
      <c r="K80">
        <f t="shared" si="16"/>
        <v>0.85</v>
      </c>
      <c r="L80">
        <v>1</v>
      </c>
      <c r="M80">
        <f t="shared" si="14"/>
        <v>1.6558288118803601</v>
      </c>
      <c r="N80">
        <f t="shared" si="17"/>
        <v>16.39719472562226</v>
      </c>
      <c r="O80">
        <f t="shared" si="18"/>
        <v>1.6982859609029335</v>
      </c>
      <c r="P80">
        <f t="shared" si="19"/>
        <v>1.6982859609029335</v>
      </c>
      <c r="Q80">
        <f t="shared" si="20"/>
        <v>70.054295887245999</v>
      </c>
    </row>
    <row r="81" spans="1:17" x14ac:dyDescent="0.6">
      <c r="A81">
        <v>80</v>
      </c>
      <c r="B81" s="1" t="s">
        <v>19</v>
      </c>
      <c r="C81" t="s">
        <v>7</v>
      </c>
      <c r="D81">
        <v>225</v>
      </c>
      <c r="F81">
        <v>127</v>
      </c>
      <c r="G81">
        <v>35.340000000000003</v>
      </c>
      <c r="H81">
        <f t="shared" si="21"/>
        <v>1154</v>
      </c>
      <c r="I81">
        <v>301</v>
      </c>
      <c r="J81">
        <f t="shared" si="15"/>
        <v>0.3820803599504351</v>
      </c>
      <c r="K81">
        <f t="shared" si="16"/>
        <v>1</v>
      </c>
      <c r="L81">
        <v>1</v>
      </c>
      <c r="M81">
        <f t="shared" si="14"/>
        <v>2.2025282370494144</v>
      </c>
      <c r="N81">
        <f t="shared" si="17"/>
        <v>17.744184659713707</v>
      </c>
      <c r="O81">
        <f t="shared" si="18"/>
        <v>2.2590033200506814</v>
      </c>
      <c r="P81">
        <f t="shared" si="19"/>
        <v>2.2590033200506814</v>
      </c>
      <c r="Q81">
        <f t="shared" si="20"/>
        <v>331.07500857998775</v>
      </c>
    </row>
    <row r="82" spans="1:17" x14ac:dyDescent="0.6">
      <c r="A82">
        <v>81</v>
      </c>
      <c r="B82" s="1" t="s">
        <v>19</v>
      </c>
      <c r="C82" t="s">
        <v>7</v>
      </c>
      <c r="D82">
        <v>225</v>
      </c>
      <c r="F82">
        <v>123</v>
      </c>
      <c r="G82">
        <v>35.340000000000003</v>
      </c>
      <c r="H82">
        <f t="shared" si="21"/>
        <v>1146</v>
      </c>
      <c r="I82">
        <v>317</v>
      </c>
      <c r="J82">
        <f t="shared" si="15"/>
        <v>0.38778336716474066</v>
      </c>
      <c r="K82">
        <f t="shared" si="16"/>
        <v>1</v>
      </c>
      <c r="L82">
        <v>1</v>
      </c>
      <c r="M82">
        <f t="shared" si="14"/>
        <v>2.2025282370494144</v>
      </c>
      <c r="N82">
        <f t="shared" si="17"/>
        <v>17.32343992011613</v>
      </c>
      <c r="O82">
        <f t="shared" si="18"/>
        <v>2.2590033200506814</v>
      </c>
      <c r="P82">
        <f t="shared" si="19"/>
        <v>2.2590033200506814</v>
      </c>
      <c r="Q82">
        <f t="shared" si="20"/>
        <v>318.42458998770394</v>
      </c>
    </row>
    <row r="83" spans="1:17" x14ac:dyDescent="0.6">
      <c r="A83">
        <v>82</v>
      </c>
      <c r="B83" s="1" t="s">
        <v>19</v>
      </c>
      <c r="C83" t="s">
        <v>7</v>
      </c>
      <c r="D83">
        <v>225</v>
      </c>
      <c r="F83">
        <v>127</v>
      </c>
      <c r="G83">
        <v>54.244999999999997</v>
      </c>
      <c r="H83">
        <f t="shared" si="21"/>
        <v>1154</v>
      </c>
      <c r="I83">
        <v>363</v>
      </c>
      <c r="J83">
        <f t="shared" si="15"/>
        <v>0.3820803599504351</v>
      </c>
      <c r="K83">
        <f t="shared" si="16"/>
        <v>1</v>
      </c>
      <c r="L83">
        <v>1</v>
      </c>
      <c r="M83">
        <f t="shared" si="14"/>
        <v>2.7287771457651138</v>
      </c>
      <c r="N83">
        <f t="shared" si="17"/>
        <v>21.983793331307183</v>
      </c>
      <c r="O83">
        <f t="shared" si="18"/>
        <v>2.7987457905283213</v>
      </c>
      <c r="P83">
        <f t="shared" si="19"/>
        <v>2.7987457905283213</v>
      </c>
      <c r="Q83">
        <f t="shared" si="20"/>
        <v>410.17858556824967</v>
      </c>
    </row>
    <row r="84" spans="1:17" x14ac:dyDescent="0.6">
      <c r="A84">
        <v>83</v>
      </c>
      <c r="B84" s="1" t="s">
        <v>19</v>
      </c>
      <c r="C84" t="s">
        <v>7</v>
      </c>
      <c r="D84">
        <v>225</v>
      </c>
      <c r="F84">
        <v>123</v>
      </c>
      <c r="G84">
        <v>54.244999999999997</v>
      </c>
      <c r="H84">
        <f t="shared" si="21"/>
        <v>1146</v>
      </c>
      <c r="I84">
        <v>447</v>
      </c>
      <c r="J84">
        <f t="shared" si="15"/>
        <v>0.38778336716474066</v>
      </c>
      <c r="K84">
        <f t="shared" si="16"/>
        <v>1</v>
      </c>
      <c r="L84">
        <v>1</v>
      </c>
      <c r="M84">
        <f t="shared" si="14"/>
        <v>2.7287771457651138</v>
      </c>
      <c r="N84">
        <f t="shared" si="17"/>
        <v>21.462520273236052</v>
      </c>
      <c r="O84">
        <f t="shared" si="18"/>
        <v>2.7987457905283213</v>
      </c>
      <c r="P84">
        <f t="shared" si="19"/>
        <v>2.7987457905283213</v>
      </c>
      <c r="Q84">
        <f t="shared" si="20"/>
        <v>394.50560914129107</v>
      </c>
    </row>
    <row r="85" spans="1:17" x14ac:dyDescent="0.6">
      <c r="A85">
        <v>84</v>
      </c>
      <c r="B85" s="1" t="s">
        <v>19</v>
      </c>
      <c r="C85" t="s">
        <v>7</v>
      </c>
      <c r="D85">
        <v>225</v>
      </c>
      <c r="F85">
        <v>127</v>
      </c>
      <c r="G85">
        <v>63.744999999999997</v>
      </c>
      <c r="H85">
        <f t="shared" si="21"/>
        <v>1154</v>
      </c>
      <c r="I85">
        <v>443</v>
      </c>
      <c r="J85">
        <f t="shared" si="15"/>
        <v>0.3820803599504351</v>
      </c>
      <c r="K85">
        <f t="shared" si="16"/>
        <v>1</v>
      </c>
      <c r="L85">
        <v>1</v>
      </c>
      <c r="M85">
        <f t="shared" si="14"/>
        <v>2.9580892627251805</v>
      </c>
      <c r="N85">
        <f t="shared" si="17"/>
        <v>23.831196002294142</v>
      </c>
      <c r="O85">
        <f t="shared" si="18"/>
        <v>3.033937705359159</v>
      </c>
      <c r="P85">
        <f t="shared" si="19"/>
        <v>3.033937705359159</v>
      </c>
      <c r="Q85">
        <f t="shared" si="20"/>
        <v>444.64784222202758</v>
      </c>
    </row>
    <row r="86" spans="1:17" x14ac:dyDescent="0.6">
      <c r="A86">
        <v>85</v>
      </c>
      <c r="B86" s="1" t="s">
        <v>19</v>
      </c>
      <c r="C86" t="s">
        <v>7</v>
      </c>
      <c r="D86">
        <v>225</v>
      </c>
      <c r="F86">
        <v>123</v>
      </c>
      <c r="G86">
        <v>63.744999999999997</v>
      </c>
      <c r="H86">
        <f t="shared" si="21"/>
        <v>1146</v>
      </c>
      <c r="I86">
        <v>485</v>
      </c>
      <c r="J86">
        <f t="shared" si="15"/>
        <v>0.38778336716474066</v>
      </c>
      <c r="K86">
        <f t="shared" si="16"/>
        <v>1</v>
      </c>
      <c r="L86">
        <v>1</v>
      </c>
      <c r="M86">
        <f t="shared" si="14"/>
        <v>2.9580892627251805</v>
      </c>
      <c r="N86">
        <f t="shared" si="17"/>
        <v>23.266117890869335</v>
      </c>
      <c r="O86">
        <f t="shared" si="18"/>
        <v>3.033937705359159</v>
      </c>
      <c r="P86">
        <f t="shared" si="19"/>
        <v>3.033937705359159</v>
      </c>
      <c r="Q86">
        <f t="shared" si="20"/>
        <v>427.65779107201627</v>
      </c>
    </row>
    <row r="87" spans="1:17" x14ac:dyDescent="0.6">
      <c r="A87">
        <v>86</v>
      </c>
      <c r="B87" s="1" t="s">
        <v>21</v>
      </c>
      <c r="C87" t="s">
        <v>10</v>
      </c>
      <c r="D87">
        <v>202</v>
      </c>
      <c r="F87">
        <v>172</v>
      </c>
      <c r="G87">
        <v>31.065000000000001</v>
      </c>
      <c r="H87">
        <f t="shared" ref="H87:H120" si="22">PI()*(D87+F87)</f>
        <v>1174.9556524425827</v>
      </c>
      <c r="I87">
        <v>503</v>
      </c>
      <c r="J87">
        <f t="shared" si="15"/>
        <v>0.33149677206589795</v>
      </c>
      <c r="K87">
        <f t="shared" si="16"/>
        <v>0.85</v>
      </c>
      <c r="L87">
        <v>1</v>
      </c>
      <c r="M87">
        <f t="shared" si="14"/>
        <v>1.7552655008546785</v>
      </c>
      <c r="N87">
        <f t="shared" si="17"/>
        <v>18.616715900509032</v>
      </c>
      <c r="O87">
        <f t="shared" si="18"/>
        <v>1.800272308568901</v>
      </c>
      <c r="P87">
        <f t="shared" si="19"/>
        <v>1.800272308568901</v>
      </c>
      <c r="Q87">
        <f t="shared" si="20"/>
        <v>363.82130148088868</v>
      </c>
    </row>
    <row r="88" spans="1:17" x14ac:dyDescent="0.6">
      <c r="A88">
        <v>87</v>
      </c>
      <c r="B88" s="1" t="s">
        <v>21</v>
      </c>
      <c r="C88" t="s">
        <v>10</v>
      </c>
      <c r="D88">
        <v>202</v>
      </c>
      <c r="F88">
        <v>176</v>
      </c>
      <c r="G88">
        <v>31.065000000000001</v>
      </c>
      <c r="H88">
        <f t="shared" si="22"/>
        <v>1187.5220230569419</v>
      </c>
      <c r="I88">
        <v>537</v>
      </c>
      <c r="J88">
        <f t="shared" si="15"/>
        <v>0.32791291789197646</v>
      </c>
      <c r="K88">
        <f t="shared" si="16"/>
        <v>0.85</v>
      </c>
      <c r="L88">
        <v>1</v>
      </c>
      <c r="M88">
        <f t="shared" si="14"/>
        <v>1.7552655008546785</v>
      </c>
      <c r="N88">
        <f t="shared" si="17"/>
        <v>18.840807738508623</v>
      </c>
      <c r="O88">
        <f t="shared" si="18"/>
        <v>1.800272308568901</v>
      </c>
      <c r="P88">
        <f t="shared" si="19"/>
        <v>1.800272308568901</v>
      </c>
      <c r="Q88">
        <f t="shared" si="20"/>
        <v>376.26389045082328</v>
      </c>
    </row>
    <row r="89" spans="1:17" x14ac:dyDescent="0.6">
      <c r="A89">
        <v>88</v>
      </c>
      <c r="B89" s="1" t="s">
        <v>21</v>
      </c>
      <c r="C89" t="s">
        <v>10</v>
      </c>
      <c r="D89">
        <v>201</v>
      </c>
      <c r="F89">
        <v>173</v>
      </c>
      <c r="G89">
        <v>31.065000000000001</v>
      </c>
      <c r="H89">
        <f t="shared" si="22"/>
        <v>1174.9556524425827</v>
      </c>
      <c r="I89">
        <v>530</v>
      </c>
      <c r="J89">
        <f t="shared" si="15"/>
        <v>0.33058980245364311</v>
      </c>
      <c r="K89">
        <f t="shared" si="16"/>
        <v>0.85</v>
      </c>
      <c r="L89">
        <v>1</v>
      </c>
      <c r="M89">
        <f t="shared" si="14"/>
        <v>1.7552655008546785</v>
      </c>
      <c r="N89">
        <f t="shared" si="17"/>
        <v>18.72155094353359</v>
      </c>
      <c r="O89">
        <f t="shared" si="18"/>
        <v>1.800272308568901</v>
      </c>
      <c r="P89">
        <f t="shared" si="19"/>
        <v>1.800272308568901</v>
      </c>
      <c r="Q89">
        <f t="shared" si="20"/>
        <v>365.93654160577756</v>
      </c>
    </row>
    <row r="90" spans="1:17" x14ac:dyDescent="0.6">
      <c r="A90">
        <v>89</v>
      </c>
      <c r="B90" s="1" t="s">
        <v>21</v>
      </c>
      <c r="C90" t="s">
        <v>10</v>
      </c>
      <c r="D90">
        <v>402</v>
      </c>
      <c r="F90">
        <v>170</v>
      </c>
      <c r="G90">
        <v>31.065000000000001</v>
      </c>
      <c r="H90">
        <f t="shared" si="22"/>
        <v>1796.9909978533617</v>
      </c>
      <c r="I90">
        <v>686</v>
      </c>
      <c r="J90">
        <f t="shared" si="15"/>
        <v>0.33333333333333331</v>
      </c>
      <c r="K90">
        <f t="shared" si="16"/>
        <v>0.85</v>
      </c>
      <c r="L90">
        <v>1</v>
      </c>
      <c r="M90">
        <f t="shared" si="14"/>
        <v>1.7552655008546785</v>
      </c>
      <c r="N90">
        <f t="shared" si="17"/>
        <v>12.237906744168562</v>
      </c>
      <c r="O90">
        <f t="shared" si="18"/>
        <v>1.800272308568901</v>
      </c>
      <c r="P90">
        <f t="shared" si="19"/>
        <v>1.800272308568901</v>
      </c>
      <c r="Q90">
        <f t="shared" si="20"/>
        <v>549.96243247111067</v>
      </c>
    </row>
    <row r="91" spans="1:17" x14ac:dyDescent="0.6">
      <c r="A91">
        <v>90</v>
      </c>
      <c r="B91" s="1" t="s">
        <v>21</v>
      </c>
      <c r="C91" t="s">
        <v>10</v>
      </c>
      <c r="D91">
        <v>399</v>
      </c>
      <c r="F91">
        <v>172</v>
      </c>
      <c r="G91">
        <v>31.065000000000001</v>
      </c>
      <c r="H91">
        <f t="shared" si="22"/>
        <v>1793.8494051997718</v>
      </c>
      <c r="I91">
        <v>696</v>
      </c>
      <c r="J91">
        <f t="shared" si="15"/>
        <v>0.33149677206589795</v>
      </c>
      <c r="K91">
        <f t="shared" si="16"/>
        <v>0.85</v>
      </c>
      <c r="L91">
        <v>1</v>
      </c>
      <c r="M91">
        <f t="shared" si="14"/>
        <v>1.7552655008546785</v>
      </c>
      <c r="N91">
        <f t="shared" si="17"/>
        <v>12.395646552270586</v>
      </c>
      <c r="O91">
        <f t="shared" si="18"/>
        <v>1.800272308568901</v>
      </c>
      <c r="P91">
        <f t="shared" si="19"/>
        <v>1.800272308568901</v>
      </c>
      <c r="Q91">
        <f t="shared" si="20"/>
        <v>555.45979450691823</v>
      </c>
    </row>
    <row r="92" spans="1:17" x14ac:dyDescent="0.6">
      <c r="A92">
        <v>91</v>
      </c>
      <c r="B92" s="1" t="s">
        <v>21</v>
      </c>
      <c r="C92" t="s">
        <v>10</v>
      </c>
      <c r="D92">
        <v>406</v>
      </c>
      <c r="F92">
        <v>175</v>
      </c>
      <c r="G92">
        <v>31.065000000000001</v>
      </c>
      <c r="H92">
        <f t="shared" si="22"/>
        <v>1825.2653317356699</v>
      </c>
      <c r="I92">
        <v>799</v>
      </c>
      <c r="J92">
        <f t="shared" si="15"/>
        <v>0.32879797461071458</v>
      </c>
      <c r="K92">
        <f t="shared" si="16"/>
        <v>0.85</v>
      </c>
      <c r="L92">
        <v>1</v>
      </c>
      <c r="M92">
        <f t="shared" si="14"/>
        <v>1.7552655008546785</v>
      </c>
      <c r="N92">
        <f t="shared" si="17"/>
        <v>12.39481925064184</v>
      </c>
      <c r="O92">
        <f t="shared" si="18"/>
        <v>1.800272308568901</v>
      </c>
      <c r="P92">
        <f t="shared" si="19"/>
        <v>1.800272308568901</v>
      </c>
      <c r="Q92">
        <f t="shared" si="20"/>
        <v>575.04556069004707</v>
      </c>
    </row>
    <row r="93" spans="1:17" x14ac:dyDescent="0.6">
      <c r="A93">
        <v>92</v>
      </c>
      <c r="B93" s="1" t="s">
        <v>21</v>
      </c>
      <c r="C93" t="s">
        <v>10</v>
      </c>
      <c r="D93">
        <v>201</v>
      </c>
      <c r="F93">
        <v>177</v>
      </c>
      <c r="G93">
        <v>22.895</v>
      </c>
      <c r="H93">
        <f t="shared" si="22"/>
        <v>1187.5220230569419</v>
      </c>
      <c r="I93">
        <v>478</v>
      </c>
      <c r="J93">
        <f t="shared" si="15"/>
        <v>0.32703497008386428</v>
      </c>
      <c r="K93">
        <f t="shared" si="16"/>
        <v>0.75</v>
      </c>
      <c r="L93">
        <v>1</v>
      </c>
      <c r="M93">
        <f t="shared" si="14"/>
        <v>1.3295963053627877</v>
      </c>
      <c r="N93">
        <f t="shared" si="17"/>
        <v>14.35029721969048</v>
      </c>
      <c r="O93">
        <f t="shared" si="18"/>
        <v>1.3636885183208078</v>
      </c>
      <c r="P93">
        <f t="shared" si="19"/>
        <v>1.3636885183208078</v>
      </c>
      <c r="Q93">
        <f t="shared" si="20"/>
        <v>286.63559621296531</v>
      </c>
    </row>
    <row r="94" spans="1:17" x14ac:dyDescent="0.6">
      <c r="A94">
        <v>93</v>
      </c>
      <c r="B94" s="1" t="s">
        <v>21</v>
      </c>
      <c r="C94" t="s">
        <v>10</v>
      </c>
      <c r="D94">
        <v>899</v>
      </c>
      <c r="F94">
        <v>174</v>
      </c>
      <c r="G94">
        <v>22.895</v>
      </c>
      <c r="H94">
        <f t="shared" si="22"/>
        <v>3370.9289173018478</v>
      </c>
      <c r="I94">
        <v>1111</v>
      </c>
      <c r="J94">
        <f t="shared" si="15"/>
        <v>0.32969023669789355</v>
      </c>
      <c r="K94">
        <f t="shared" si="16"/>
        <v>0.75</v>
      </c>
      <c r="L94">
        <v>1</v>
      </c>
      <c r="M94">
        <f t="shared" si="14"/>
        <v>1.3295963053627877</v>
      </c>
      <c r="N94">
        <f t="shared" si="17"/>
        <v>5.2593996063537505</v>
      </c>
      <c r="O94">
        <f t="shared" si="18"/>
        <v>1.3636885183208078</v>
      </c>
      <c r="P94">
        <f t="shared" si="19"/>
        <v>1.3636885183208078</v>
      </c>
      <c r="Q94">
        <f t="shared" si="20"/>
        <v>799.86008854442127</v>
      </c>
    </row>
    <row r="95" spans="1:17" x14ac:dyDescent="0.6">
      <c r="A95">
        <v>94</v>
      </c>
      <c r="B95" s="1" t="s">
        <v>21</v>
      </c>
      <c r="C95" t="s">
        <v>10</v>
      </c>
      <c r="D95">
        <v>897</v>
      </c>
      <c r="F95">
        <v>172</v>
      </c>
      <c r="G95">
        <v>22.895</v>
      </c>
      <c r="H95">
        <f t="shared" si="22"/>
        <v>3358.3625466874887</v>
      </c>
      <c r="I95">
        <v>1107</v>
      </c>
      <c r="J95">
        <f t="shared" si="15"/>
        <v>0.33149677206589795</v>
      </c>
      <c r="K95">
        <f t="shared" si="16"/>
        <v>0.75</v>
      </c>
      <c r="L95">
        <v>1</v>
      </c>
      <c r="M95">
        <f t="shared" si="14"/>
        <v>1.3295963053627877</v>
      </c>
      <c r="N95">
        <f t="shared" si="17"/>
        <v>5.2218551657714345</v>
      </c>
      <c r="O95">
        <f t="shared" si="18"/>
        <v>1.3636885183208078</v>
      </c>
      <c r="P95">
        <f t="shared" si="19"/>
        <v>1.3636885183208078</v>
      </c>
      <c r="Q95">
        <f t="shared" si="20"/>
        <v>787.71879658753335</v>
      </c>
    </row>
    <row r="96" spans="1:17" x14ac:dyDescent="0.6">
      <c r="A96">
        <v>95</v>
      </c>
      <c r="B96" s="1" t="s">
        <v>21</v>
      </c>
      <c r="C96" t="s">
        <v>10</v>
      </c>
      <c r="D96">
        <v>901</v>
      </c>
      <c r="F96">
        <v>173</v>
      </c>
      <c r="G96">
        <v>22.895</v>
      </c>
      <c r="H96">
        <f t="shared" si="22"/>
        <v>3374.070509955438</v>
      </c>
      <c r="I96">
        <v>1079</v>
      </c>
      <c r="J96">
        <f t="shared" si="15"/>
        <v>0.33058980245364311</v>
      </c>
      <c r="K96">
        <f t="shared" si="16"/>
        <v>0.75</v>
      </c>
      <c r="L96">
        <v>1</v>
      </c>
      <c r="M96">
        <f t="shared" si="14"/>
        <v>1.3295963053627877</v>
      </c>
      <c r="N96">
        <f t="shared" si="17"/>
        <v>5.2272617050456063</v>
      </c>
      <c r="O96">
        <f t="shared" si="18"/>
        <v>1.3636885183208078</v>
      </c>
      <c r="P96">
        <f t="shared" si="19"/>
        <v>1.3636885183208078</v>
      </c>
      <c r="Q96">
        <f t="shared" si="20"/>
        <v>796.00435009657394</v>
      </c>
    </row>
    <row r="97" spans="1:17" x14ac:dyDescent="0.6">
      <c r="A97">
        <v>96</v>
      </c>
      <c r="B97" s="1" t="s">
        <v>63</v>
      </c>
      <c r="C97" t="s">
        <v>10</v>
      </c>
      <c r="D97">
        <v>250</v>
      </c>
      <c r="F97">
        <v>200</v>
      </c>
      <c r="G97">
        <v>84.674999999999997</v>
      </c>
      <c r="H97">
        <f t="shared" si="22"/>
        <v>1413.7166941154069</v>
      </c>
      <c r="I97">
        <v>965</v>
      </c>
      <c r="J97">
        <f t="shared" si="15"/>
        <v>0.30860669992418382</v>
      </c>
      <c r="K97">
        <f t="shared" si="16"/>
        <v>1</v>
      </c>
      <c r="L97">
        <v>1</v>
      </c>
      <c r="M97">
        <f t="shared" si="14"/>
        <v>3.4093046825929187</v>
      </c>
      <c r="N97">
        <f t="shared" si="17"/>
        <v>34.983308515469112</v>
      </c>
      <c r="O97">
        <f t="shared" si="18"/>
        <v>3.4967227513773524</v>
      </c>
      <c r="P97">
        <f t="shared" si="19"/>
        <v>3.4967227513773524</v>
      </c>
      <c r="Q97">
        <f t="shared" si="20"/>
        <v>988.67506566306406</v>
      </c>
    </row>
    <row r="98" spans="1:17" x14ac:dyDescent="0.6">
      <c r="A98">
        <v>97</v>
      </c>
      <c r="B98" s="1" t="s">
        <v>63</v>
      </c>
      <c r="C98" t="s">
        <v>10</v>
      </c>
      <c r="D98">
        <v>250</v>
      </c>
      <c r="F98">
        <v>200</v>
      </c>
      <c r="G98">
        <v>86.734999999999999</v>
      </c>
      <c r="H98">
        <f t="shared" si="22"/>
        <v>1413.7166941154069</v>
      </c>
      <c r="I98">
        <v>1021</v>
      </c>
      <c r="J98">
        <f t="shared" si="15"/>
        <v>0.30860669992418382</v>
      </c>
      <c r="K98">
        <f t="shared" si="16"/>
        <v>1</v>
      </c>
      <c r="L98">
        <v>1</v>
      </c>
      <c r="M98">
        <f t="shared" si="14"/>
        <v>3.4505267907596373</v>
      </c>
      <c r="N98">
        <f t="shared" si="17"/>
        <v>35.40629380482072</v>
      </c>
      <c r="O98">
        <f t="shared" si="18"/>
        <v>3.539001836676551</v>
      </c>
      <c r="P98">
        <f t="shared" si="19"/>
        <v>3.539001836676551</v>
      </c>
      <c r="Q98">
        <f t="shared" si="20"/>
        <v>1000.6291954029454</v>
      </c>
    </row>
    <row r="99" spans="1:17" x14ac:dyDescent="0.6">
      <c r="A99">
        <v>98</v>
      </c>
      <c r="B99" s="1" t="s">
        <v>63</v>
      </c>
      <c r="C99" t="s">
        <v>10</v>
      </c>
      <c r="D99">
        <v>250</v>
      </c>
      <c r="F99">
        <v>194</v>
      </c>
      <c r="G99">
        <v>81.415000000000006</v>
      </c>
      <c r="H99">
        <f t="shared" si="22"/>
        <v>1394.8671381938682</v>
      </c>
      <c r="I99">
        <v>889</v>
      </c>
      <c r="J99">
        <f t="shared" si="15"/>
        <v>0.31311214554257477</v>
      </c>
      <c r="K99">
        <f t="shared" si="16"/>
        <v>1</v>
      </c>
      <c r="L99">
        <v>1</v>
      </c>
      <c r="M99">
        <f t="shared" si="14"/>
        <v>3.3430311700236963</v>
      </c>
      <c r="N99">
        <f t="shared" si="17"/>
        <v>33.742643868810937</v>
      </c>
      <c r="O99">
        <f t="shared" si="18"/>
        <v>3.4287499179730214</v>
      </c>
      <c r="P99">
        <f t="shared" si="19"/>
        <v>3.4287499179730214</v>
      </c>
      <c r="Q99">
        <f t="shared" si="20"/>
        <v>927.83421361910484</v>
      </c>
    </row>
    <row r="100" spans="1:17" x14ac:dyDescent="0.6">
      <c r="A100">
        <v>99</v>
      </c>
      <c r="B100" s="1" t="s">
        <v>63</v>
      </c>
      <c r="C100" t="s">
        <v>10</v>
      </c>
      <c r="D100">
        <v>250</v>
      </c>
      <c r="F100">
        <v>200</v>
      </c>
      <c r="G100">
        <v>87.02</v>
      </c>
      <c r="H100">
        <f t="shared" si="22"/>
        <v>1413.7166941154069</v>
      </c>
      <c r="I100">
        <v>1041</v>
      </c>
      <c r="J100">
        <f t="shared" si="15"/>
        <v>0.30860669992418382</v>
      </c>
      <c r="K100">
        <f t="shared" si="16"/>
        <v>1</v>
      </c>
      <c r="L100">
        <v>1</v>
      </c>
      <c r="M100">
        <f t="shared" si="14"/>
        <v>3.4561911340375846</v>
      </c>
      <c r="N100">
        <f t="shared" si="17"/>
        <v>35.464416350875837</v>
      </c>
      <c r="O100">
        <f t="shared" si="18"/>
        <v>3.5448114195257272</v>
      </c>
      <c r="P100">
        <f t="shared" si="19"/>
        <v>3.5448114195257272</v>
      </c>
      <c r="Q100">
        <f t="shared" si="20"/>
        <v>1002.2718162548908</v>
      </c>
    </row>
    <row r="101" spans="1:17" x14ac:dyDescent="0.6">
      <c r="A101">
        <v>100</v>
      </c>
      <c r="B101" s="1" t="s">
        <v>63</v>
      </c>
      <c r="C101" t="s">
        <v>10</v>
      </c>
      <c r="D101">
        <v>250</v>
      </c>
      <c r="F101">
        <v>201</v>
      </c>
      <c r="G101">
        <v>103.36</v>
      </c>
      <c r="H101">
        <f t="shared" si="22"/>
        <v>1416.8582867689968</v>
      </c>
      <c r="I101">
        <v>960</v>
      </c>
      <c r="J101">
        <f t="shared" si="15"/>
        <v>0.30787453590353958</v>
      </c>
      <c r="K101">
        <f t="shared" si="16"/>
        <v>1</v>
      </c>
      <c r="L101">
        <v>1</v>
      </c>
      <c r="M101">
        <f t="shared" si="14"/>
        <v>3.7667297540439511</v>
      </c>
      <c r="N101">
        <f t="shared" si="17"/>
        <v>38.754538140407057</v>
      </c>
      <c r="O101">
        <f t="shared" si="18"/>
        <v>3.8633125682502056</v>
      </c>
      <c r="P101">
        <f t="shared" si="19"/>
        <v>3.8633125682502056</v>
      </c>
      <c r="Q101">
        <f t="shared" si="20"/>
        <v>1100.2270517675281</v>
      </c>
    </row>
    <row r="102" spans="1:17" x14ac:dyDescent="0.6">
      <c r="A102">
        <v>101</v>
      </c>
      <c r="B102" s="1" t="s">
        <v>63</v>
      </c>
      <c r="C102" t="s">
        <v>10</v>
      </c>
      <c r="D102">
        <v>250</v>
      </c>
      <c r="F102">
        <v>202</v>
      </c>
      <c r="G102">
        <v>79.894999999999996</v>
      </c>
      <c r="H102">
        <f t="shared" si="22"/>
        <v>1419.9998794225864</v>
      </c>
      <c r="I102">
        <v>565</v>
      </c>
      <c r="J102">
        <f t="shared" si="15"/>
        <v>0.30714755841697561</v>
      </c>
      <c r="K102">
        <f t="shared" si="16"/>
        <v>1</v>
      </c>
      <c r="L102">
        <v>1</v>
      </c>
      <c r="M102">
        <f t="shared" si="14"/>
        <v>3.311677312745009</v>
      </c>
      <c r="N102">
        <f t="shared" si="17"/>
        <v>34.163387074510055</v>
      </c>
      <c r="O102">
        <f t="shared" si="18"/>
        <v>3.3965921156359062</v>
      </c>
      <c r="P102">
        <f t="shared" si="19"/>
        <v>3.3965921156359062</v>
      </c>
      <c r="Q102">
        <f t="shared" si="20"/>
        <v>974.27839971944036</v>
      </c>
    </row>
    <row r="103" spans="1:17" x14ac:dyDescent="0.6">
      <c r="A103">
        <v>102</v>
      </c>
      <c r="B103" s="1" t="s">
        <v>22</v>
      </c>
      <c r="C103" t="s">
        <v>10</v>
      </c>
      <c r="D103">
        <v>150</v>
      </c>
      <c r="F103">
        <v>98</v>
      </c>
      <c r="G103">
        <v>82.724999999999994</v>
      </c>
      <c r="H103">
        <f t="shared" si="22"/>
        <v>779.11497809026866</v>
      </c>
      <c r="I103">
        <v>224</v>
      </c>
      <c r="J103">
        <f t="shared" si="15"/>
        <v>0.43033148291193518</v>
      </c>
      <c r="K103">
        <f t="shared" si="16"/>
        <v>1</v>
      </c>
      <c r="L103">
        <v>1</v>
      </c>
      <c r="M103">
        <f t="shared" si="14"/>
        <v>3.3698191985995338</v>
      </c>
      <c r="N103">
        <f t="shared" si="17"/>
        <v>30.868429553320581</v>
      </c>
      <c r="O103">
        <f t="shared" si="18"/>
        <v>3.4562248190764442</v>
      </c>
      <c r="P103">
        <f t="shared" si="19"/>
        <v>3.4562248190764442</v>
      </c>
      <c r="Q103">
        <f t="shared" si="20"/>
        <v>263.89405937059905</v>
      </c>
    </row>
    <row r="104" spans="1:17" x14ac:dyDescent="0.6">
      <c r="A104">
        <v>103</v>
      </c>
      <c r="B104" s="1" t="s">
        <v>22</v>
      </c>
      <c r="C104" t="s">
        <v>10</v>
      </c>
      <c r="D104">
        <v>150</v>
      </c>
      <c r="F104">
        <v>98</v>
      </c>
      <c r="G104">
        <v>52.65</v>
      </c>
      <c r="H104">
        <f t="shared" si="22"/>
        <v>779.11497809026866</v>
      </c>
      <c r="I104">
        <v>212</v>
      </c>
      <c r="J104">
        <f t="shared" si="15"/>
        <v>0.43033148291193518</v>
      </c>
      <c r="K104">
        <f t="shared" si="16"/>
        <v>1</v>
      </c>
      <c r="L104">
        <v>1</v>
      </c>
      <c r="M104">
        <f t="shared" si="14"/>
        <v>2.6883598461701514</v>
      </c>
      <c r="N104">
        <f t="shared" si="17"/>
        <v>24.626082776181903</v>
      </c>
      <c r="O104">
        <f t="shared" si="18"/>
        <v>2.7572921499181038</v>
      </c>
      <c r="P104">
        <f t="shared" si="19"/>
        <v>2.7572921499181038</v>
      </c>
      <c r="Q104">
        <f t="shared" si="20"/>
        <v>210.52826607124746</v>
      </c>
    </row>
    <row r="105" spans="1:17" x14ac:dyDescent="0.6">
      <c r="A105">
        <v>104</v>
      </c>
      <c r="B105" s="1" t="s">
        <v>22</v>
      </c>
      <c r="C105" t="s">
        <v>10</v>
      </c>
      <c r="D105">
        <v>150</v>
      </c>
      <c r="F105">
        <v>98</v>
      </c>
      <c r="G105">
        <v>25.2</v>
      </c>
      <c r="H105">
        <f t="shared" si="22"/>
        <v>779.11497809026866</v>
      </c>
      <c r="I105">
        <v>169</v>
      </c>
      <c r="J105">
        <f t="shared" si="15"/>
        <v>0.43033148291193518</v>
      </c>
      <c r="K105">
        <f t="shared" si="16"/>
        <v>0.85</v>
      </c>
      <c r="L105">
        <v>1</v>
      </c>
      <c r="M105">
        <f t="shared" si="14"/>
        <v>1.5809109531374625</v>
      </c>
      <c r="N105">
        <f t="shared" si="17"/>
        <v>14.481559843708409</v>
      </c>
      <c r="O105">
        <f t="shared" si="18"/>
        <v>1.6214471314230385</v>
      </c>
      <c r="P105">
        <f t="shared" si="19"/>
        <v>1.6214471314230385</v>
      </c>
      <c r="Q105">
        <f t="shared" si="20"/>
        <v>123.8027871347726</v>
      </c>
    </row>
    <row r="106" spans="1:17" x14ac:dyDescent="0.6">
      <c r="A106">
        <v>105</v>
      </c>
      <c r="B106" s="1" t="s">
        <v>22</v>
      </c>
      <c r="C106" t="s">
        <v>10</v>
      </c>
      <c r="D106">
        <v>150</v>
      </c>
      <c r="F106">
        <v>98</v>
      </c>
      <c r="G106">
        <v>55.05</v>
      </c>
      <c r="H106">
        <f t="shared" si="22"/>
        <v>779.11497809026866</v>
      </c>
      <c r="I106">
        <v>233</v>
      </c>
      <c r="J106">
        <f t="shared" si="15"/>
        <v>0.43033148291193518</v>
      </c>
      <c r="K106">
        <f t="shared" si="16"/>
        <v>1</v>
      </c>
      <c r="L106">
        <v>1</v>
      </c>
      <c r="M106">
        <f t="shared" si="14"/>
        <v>2.7489502109896429</v>
      </c>
      <c r="N106">
        <f t="shared" si="17"/>
        <v>25.18110644297618</v>
      </c>
      <c r="O106">
        <f t="shared" si="18"/>
        <v>2.8194361138355308</v>
      </c>
      <c r="P106">
        <f t="shared" si="19"/>
        <v>2.8194361138355308</v>
      </c>
      <c r="Q106">
        <f t="shared" si="20"/>
        <v>215.27316079367245</v>
      </c>
    </row>
    <row r="107" spans="1:17" x14ac:dyDescent="0.6">
      <c r="A107">
        <v>106</v>
      </c>
      <c r="B107" s="1" t="s">
        <v>22</v>
      </c>
      <c r="C107" t="s">
        <v>10</v>
      </c>
      <c r="D107">
        <v>150</v>
      </c>
      <c r="F107">
        <v>98</v>
      </c>
      <c r="G107">
        <v>95.25</v>
      </c>
      <c r="H107">
        <f t="shared" si="22"/>
        <v>779.11497809026866</v>
      </c>
      <c r="I107">
        <v>233</v>
      </c>
      <c r="J107">
        <f t="shared" si="15"/>
        <v>0.43033148291193518</v>
      </c>
      <c r="K107">
        <f t="shared" si="16"/>
        <v>1</v>
      </c>
      <c r="L107">
        <v>1</v>
      </c>
      <c r="M107">
        <f t="shared" si="14"/>
        <v>3.6159357450734664</v>
      </c>
      <c r="N107">
        <f t="shared" si="17"/>
        <v>33.122921806167412</v>
      </c>
      <c r="O107">
        <f t="shared" si="18"/>
        <v>3.7086520462291959</v>
      </c>
      <c r="P107">
        <f t="shared" si="19"/>
        <v>3.7086520462291959</v>
      </c>
      <c r="Q107">
        <f t="shared" si="20"/>
        <v>283.16770305874439</v>
      </c>
    </row>
    <row r="108" spans="1:17" x14ac:dyDescent="0.6">
      <c r="A108">
        <v>107</v>
      </c>
      <c r="B108" s="1" t="s">
        <v>22</v>
      </c>
      <c r="C108" t="s">
        <v>10</v>
      </c>
      <c r="D108">
        <v>150</v>
      </c>
      <c r="F108">
        <v>98</v>
      </c>
      <c r="G108">
        <v>56.625</v>
      </c>
      <c r="H108">
        <f t="shared" si="22"/>
        <v>779.11497809026866</v>
      </c>
      <c r="I108">
        <v>319</v>
      </c>
      <c r="J108">
        <f t="shared" si="15"/>
        <v>0.43033148291193518</v>
      </c>
      <c r="K108">
        <f t="shared" si="16"/>
        <v>1</v>
      </c>
      <c r="L108">
        <v>1</v>
      </c>
      <c r="M108">
        <f t="shared" si="14"/>
        <v>2.7879971137449195</v>
      </c>
      <c r="N108">
        <f t="shared" si="17"/>
        <v>25.538786334964904</v>
      </c>
      <c r="O108">
        <f t="shared" si="18"/>
        <v>2.8594842192255583</v>
      </c>
      <c r="P108">
        <f t="shared" si="19"/>
        <v>2.8594842192255583</v>
      </c>
      <c r="Q108">
        <f t="shared" si="20"/>
        <v>218.33096451151621</v>
      </c>
    </row>
    <row r="109" spans="1:17" x14ac:dyDescent="0.6">
      <c r="A109">
        <v>108</v>
      </c>
      <c r="B109" s="1" t="s">
        <v>22</v>
      </c>
      <c r="C109" t="s">
        <v>10</v>
      </c>
      <c r="D109">
        <v>150</v>
      </c>
      <c r="F109">
        <v>98</v>
      </c>
      <c r="G109">
        <v>40.875</v>
      </c>
      <c r="H109">
        <f t="shared" si="22"/>
        <v>779.11497809026866</v>
      </c>
      <c r="I109">
        <v>297</v>
      </c>
      <c r="J109">
        <f t="shared" si="15"/>
        <v>0.43033148291193518</v>
      </c>
      <c r="K109">
        <f t="shared" si="16"/>
        <v>1</v>
      </c>
      <c r="L109">
        <v>1</v>
      </c>
      <c r="M109">
        <f t="shared" si="14"/>
        <v>2.3687383706838543</v>
      </c>
      <c r="N109">
        <f t="shared" si="17"/>
        <v>21.698266054181669</v>
      </c>
      <c r="O109">
        <f t="shared" si="18"/>
        <v>2.4294752519834399</v>
      </c>
      <c r="P109">
        <f t="shared" si="19"/>
        <v>2.4294752519834399</v>
      </c>
      <c r="Q109">
        <f t="shared" si="20"/>
        <v>185.49837465655293</v>
      </c>
    </row>
    <row r="110" spans="1:17" x14ac:dyDescent="0.6">
      <c r="A110">
        <v>109</v>
      </c>
      <c r="B110" s="1" t="s">
        <v>22</v>
      </c>
      <c r="C110" t="s">
        <v>10</v>
      </c>
      <c r="D110">
        <v>150</v>
      </c>
      <c r="F110">
        <v>98</v>
      </c>
      <c r="G110">
        <v>57</v>
      </c>
      <c r="H110">
        <f t="shared" si="22"/>
        <v>779.11497809026866</v>
      </c>
      <c r="I110">
        <v>341</v>
      </c>
      <c r="J110">
        <f t="shared" si="15"/>
        <v>0.43033148291193518</v>
      </c>
      <c r="K110">
        <f t="shared" si="16"/>
        <v>1</v>
      </c>
      <c r="L110">
        <v>1</v>
      </c>
      <c r="M110">
        <f t="shared" si="14"/>
        <v>2.7972136582678133</v>
      </c>
      <c r="N110">
        <f t="shared" si="17"/>
        <v>25.623212305191505</v>
      </c>
      <c r="O110">
        <f t="shared" si="18"/>
        <v>2.8689370854028851</v>
      </c>
      <c r="P110">
        <f t="shared" si="19"/>
        <v>2.8689370854028851</v>
      </c>
      <c r="Q110">
        <f t="shared" si="20"/>
        <v>219.05272173473077</v>
      </c>
    </row>
    <row r="111" spans="1:17" x14ac:dyDescent="0.6">
      <c r="A111">
        <v>110</v>
      </c>
      <c r="B111" s="1" t="s">
        <v>22</v>
      </c>
      <c r="C111" t="s">
        <v>10</v>
      </c>
      <c r="D111">
        <v>150</v>
      </c>
      <c r="F111">
        <v>98</v>
      </c>
      <c r="G111">
        <v>92.25</v>
      </c>
      <c r="H111">
        <f t="shared" si="22"/>
        <v>779.11497809026866</v>
      </c>
      <c r="I111">
        <v>362</v>
      </c>
      <c r="J111">
        <f t="shared" si="15"/>
        <v>0.43033148291193518</v>
      </c>
      <c r="K111">
        <f t="shared" si="16"/>
        <v>1</v>
      </c>
      <c r="L111">
        <v>1</v>
      </c>
      <c r="M111">
        <f t="shared" si="14"/>
        <v>3.5585362949533059</v>
      </c>
      <c r="N111">
        <f t="shared" si="17"/>
        <v>32.597127756691442</v>
      </c>
      <c r="O111">
        <f t="shared" si="18"/>
        <v>3.6497808153367237</v>
      </c>
      <c r="P111">
        <f t="shared" si="19"/>
        <v>3.6497808153367237</v>
      </c>
      <c r="Q111">
        <f t="shared" si="20"/>
        <v>278.67269219758469</v>
      </c>
    </row>
    <row r="112" spans="1:17" x14ac:dyDescent="0.6">
      <c r="A112">
        <v>111</v>
      </c>
      <c r="B112" s="1" t="s">
        <v>22</v>
      </c>
      <c r="C112" t="s">
        <v>10</v>
      </c>
      <c r="D112">
        <v>150</v>
      </c>
      <c r="F112">
        <v>98</v>
      </c>
      <c r="G112">
        <v>39.299999999999997</v>
      </c>
      <c r="H112">
        <f t="shared" si="22"/>
        <v>779.11497809026866</v>
      </c>
      <c r="I112">
        <v>286</v>
      </c>
      <c r="J112">
        <f t="shared" si="15"/>
        <v>0.43033148291193518</v>
      </c>
      <c r="K112">
        <f t="shared" si="16"/>
        <v>1</v>
      </c>
      <c r="L112">
        <v>1</v>
      </c>
      <c r="M112">
        <f t="shared" si="14"/>
        <v>2.3226538323650385</v>
      </c>
      <c r="N112">
        <f t="shared" si="17"/>
        <v>21.276119570719626</v>
      </c>
      <c r="O112">
        <f t="shared" si="18"/>
        <v>2.3822090588359366</v>
      </c>
      <c r="P112">
        <f t="shared" si="19"/>
        <v>2.3822090588359366</v>
      </c>
      <c r="Q112">
        <f t="shared" si="20"/>
        <v>181.88944635077723</v>
      </c>
    </row>
    <row r="113" spans="1:17" x14ac:dyDescent="0.6">
      <c r="A113">
        <v>112</v>
      </c>
      <c r="B113" s="1" t="s">
        <v>22</v>
      </c>
      <c r="C113" t="s">
        <v>10</v>
      </c>
      <c r="D113">
        <v>150</v>
      </c>
      <c r="F113">
        <v>98</v>
      </c>
      <c r="G113">
        <v>78.974999999999994</v>
      </c>
      <c r="H113">
        <f t="shared" si="22"/>
        <v>779.11497809026866</v>
      </c>
      <c r="I113">
        <v>405</v>
      </c>
      <c r="J113">
        <f t="shared" si="15"/>
        <v>0.43033148291193518</v>
      </c>
      <c r="K113">
        <f t="shared" si="16"/>
        <v>1</v>
      </c>
      <c r="L113">
        <v>1</v>
      </c>
      <c r="M113">
        <f t="shared" si="14"/>
        <v>3.2925549340519744</v>
      </c>
      <c r="N113">
        <f t="shared" si="17"/>
        <v>30.160668582593534</v>
      </c>
      <c r="O113">
        <f t="shared" si="18"/>
        <v>3.3769794195404863</v>
      </c>
      <c r="P113">
        <f t="shared" si="19"/>
        <v>3.3769794195404863</v>
      </c>
      <c r="Q113">
        <f t="shared" si="20"/>
        <v>257.84341415372427</v>
      </c>
    </row>
    <row r="114" spans="1:17" x14ac:dyDescent="0.6">
      <c r="A114">
        <v>113</v>
      </c>
      <c r="B114" s="1" t="s">
        <v>22</v>
      </c>
      <c r="C114" t="s">
        <v>10</v>
      </c>
      <c r="D114">
        <v>150</v>
      </c>
      <c r="F114">
        <v>100</v>
      </c>
      <c r="G114">
        <v>52.875</v>
      </c>
      <c r="H114">
        <f t="shared" si="22"/>
        <v>785.39816339744823</v>
      </c>
      <c r="I114">
        <v>341</v>
      </c>
      <c r="J114">
        <f t="shared" si="15"/>
        <v>0.42640143271122088</v>
      </c>
      <c r="K114">
        <f t="shared" si="16"/>
        <v>1</v>
      </c>
      <c r="L114">
        <v>1</v>
      </c>
      <c r="M114">
        <f t="shared" si="14"/>
        <v>2.694098080759125</v>
      </c>
      <c r="N114">
        <f t="shared" si="17"/>
        <v>24.969837702832862</v>
      </c>
      <c r="O114">
        <f t="shared" si="18"/>
        <v>2.7631775187273075</v>
      </c>
      <c r="P114">
        <f t="shared" si="19"/>
        <v>2.7631775187273075</v>
      </c>
      <c r="Q114">
        <f t="shared" si="20"/>
        <v>217.01945483495456</v>
      </c>
    </row>
    <row r="115" spans="1:17" x14ac:dyDescent="0.6">
      <c r="A115">
        <v>114</v>
      </c>
      <c r="B115" s="1" t="s">
        <v>22</v>
      </c>
      <c r="C115" t="s">
        <v>10</v>
      </c>
      <c r="D115">
        <v>150</v>
      </c>
      <c r="F115">
        <v>100</v>
      </c>
      <c r="G115">
        <v>30.824999999999999</v>
      </c>
      <c r="H115">
        <f t="shared" si="22"/>
        <v>785.39816339744823</v>
      </c>
      <c r="I115">
        <v>244</v>
      </c>
      <c r="J115">
        <f t="shared" si="15"/>
        <v>0.42640143271122088</v>
      </c>
      <c r="K115">
        <f t="shared" si="16"/>
        <v>0.85</v>
      </c>
      <c r="L115">
        <v>1</v>
      </c>
      <c r="M115">
        <f t="shared" si="14"/>
        <v>1.7484719949546306</v>
      </c>
      <c r="N115">
        <f t="shared" si="17"/>
        <v>16.205446362095159</v>
      </c>
      <c r="O115">
        <f t="shared" si="18"/>
        <v>1.7933046102098775</v>
      </c>
      <c r="P115">
        <f t="shared" si="19"/>
        <v>1.7933046102098775</v>
      </c>
      <c r="Q115">
        <f t="shared" si="20"/>
        <v>140.84581472710147</v>
      </c>
    </row>
    <row r="116" spans="1:17" x14ac:dyDescent="0.6">
      <c r="A116">
        <v>115</v>
      </c>
      <c r="B116" s="1" t="s">
        <v>22</v>
      </c>
      <c r="C116" t="s">
        <v>10</v>
      </c>
      <c r="D116">
        <v>150</v>
      </c>
      <c r="F116">
        <v>100</v>
      </c>
      <c r="G116">
        <v>35.25</v>
      </c>
      <c r="H116">
        <f t="shared" si="22"/>
        <v>785.39816339744823</v>
      </c>
      <c r="I116">
        <v>294</v>
      </c>
      <c r="J116">
        <f t="shared" si="15"/>
        <v>0.42640143271122088</v>
      </c>
      <c r="K116">
        <f t="shared" si="16"/>
        <v>1</v>
      </c>
      <c r="L116">
        <v>1</v>
      </c>
      <c r="M116">
        <f t="shared" si="14"/>
        <v>2.1997218716237743</v>
      </c>
      <c r="N116">
        <f t="shared" si="17"/>
        <v>20.387787110683256</v>
      </c>
      <c r="O116">
        <f t="shared" si="18"/>
        <v>2.2561249965372041</v>
      </c>
      <c r="P116">
        <f t="shared" si="19"/>
        <v>2.2561249965372041</v>
      </c>
      <c r="Q116">
        <f t="shared" si="20"/>
        <v>177.19564286753942</v>
      </c>
    </row>
    <row r="117" spans="1:17" x14ac:dyDescent="0.6">
      <c r="A117">
        <v>116</v>
      </c>
      <c r="B117" s="1" t="s">
        <v>22</v>
      </c>
      <c r="C117" t="s">
        <v>10</v>
      </c>
      <c r="D117">
        <v>150</v>
      </c>
      <c r="F117">
        <v>102</v>
      </c>
      <c r="G117">
        <v>31.574999999999999</v>
      </c>
      <c r="H117">
        <f t="shared" si="22"/>
        <v>791.68134870462791</v>
      </c>
      <c r="I117">
        <v>227</v>
      </c>
      <c r="J117">
        <f t="shared" si="15"/>
        <v>0.42257712736425829</v>
      </c>
      <c r="K117">
        <f t="shared" si="16"/>
        <v>0.85</v>
      </c>
      <c r="L117">
        <v>1</v>
      </c>
      <c r="M117">
        <f t="shared" si="14"/>
        <v>1.7696151089599612</v>
      </c>
      <c r="N117">
        <f t="shared" si="17"/>
        <v>16.589640669865098</v>
      </c>
      <c r="O117">
        <f t="shared" si="18"/>
        <v>1.81498985534355</v>
      </c>
      <c r="P117">
        <f t="shared" si="19"/>
        <v>1.81498985534355</v>
      </c>
      <c r="Q117">
        <f t="shared" si="20"/>
        <v>146.56314888948711</v>
      </c>
    </row>
    <row r="118" spans="1:17" x14ac:dyDescent="0.6">
      <c r="A118">
        <v>117</v>
      </c>
      <c r="B118" s="1" t="s">
        <v>23</v>
      </c>
      <c r="C118" t="s">
        <v>10</v>
      </c>
      <c r="D118">
        <v>100</v>
      </c>
      <c r="F118">
        <v>55</v>
      </c>
      <c r="G118">
        <v>38.950000000000003</v>
      </c>
      <c r="H118">
        <f t="shared" si="22"/>
        <v>486.94686130641793</v>
      </c>
      <c r="I118">
        <v>65</v>
      </c>
      <c r="J118">
        <f t="shared" si="15"/>
        <v>0.55470019622522915</v>
      </c>
      <c r="K118">
        <f t="shared" si="16"/>
        <v>1</v>
      </c>
      <c r="L118">
        <v>1</v>
      </c>
      <c r="M118">
        <f t="shared" si="14"/>
        <v>2.3122880956965552</v>
      </c>
      <c r="N118">
        <f t="shared" si="17"/>
        <v>19.09847241269874</v>
      </c>
      <c r="O118">
        <f t="shared" si="18"/>
        <v>2.3715775340477485</v>
      </c>
      <c r="P118">
        <f t="shared" si="19"/>
        <v>2.3715775340477485</v>
      </c>
      <c r="Q118">
        <f t="shared" si="20"/>
        <v>63.515773010215113</v>
      </c>
    </row>
    <row r="119" spans="1:17" x14ac:dyDescent="0.6">
      <c r="A119">
        <v>118</v>
      </c>
      <c r="B119" s="1" t="s">
        <v>14</v>
      </c>
      <c r="C119" t="s">
        <v>10</v>
      </c>
      <c r="D119">
        <v>100</v>
      </c>
      <c r="F119">
        <v>55</v>
      </c>
      <c r="G119">
        <v>50.255000000000003</v>
      </c>
      <c r="H119">
        <f t="shared" si="22"/>
        <v>486.94686130641793</v>
      </c>
      <c r="I119">
        <v>61</v>
      </c>
      <c r="J119">
        <f t="shared" si="15"/>
        <v>0.55470019622522915</v>
      </c>
      <c r="K119">
        <f t="shared" si="16"/>
        <v>1</v>
      </c>
      <c r="L119">
        <v>1</v>
      </c>
      <c r="M119">
        <f t="shared" si="14"/>
        <v>2.6265026963150069</v>
      </c>
      <c r="N119">
        <f t="shared" si="17"/>
        <v>21.693745420740974</v>
      </c>
      <c r="O119">
        <f t="shared" si="18"/>
        <v>2.6938489192974426</v>
      </c>
      <c r="P119">
        <f t="shared" si="19"/>
        <v>2.6938489192974426</v>
      </c>
      <c r="Q119">
        <f t="shared" si="20"/>
        <v>72.146870184706657</v>
      </c>
    </row>
    <row r="120" spans="1:17" x14ac:dyDescent="0.6">
      <c r="A120">
        <v>119</v>
      </c>
      <c r="B120" s="1" t="s">
        <v>14</v>
      </c>
      <c r="C120" t="s">
        <v>10</v>
      </c>
      <c r="D120">
        <v>100</v>
      </c>
      <c r="F120">
        <v>55</v>
      </c>
      <c r="G120">
        <v>38.950000000000003</v>
      </c>
      <c r="H120">
        <f t="shared" si="22"/>
        <v>486.94686130641793</v>
      </c>
      <c r="I120">
        <v>60</v>
      </c>
      <c r="J120">
        <f t="shared" si="15"/>
        <v>0.55470019622522915</v>
      </c>
      <c r="K120">
        <f t="shared" si="16"/>
        <v>1</v>
      </c>
      <c r="L120">
        <v>1</v>
      </c>
      <c r="M120">
        <f t="shared" si="14"/>
        <v>2.3122880956965552</v>
      </c>
      <c r="N120">
        <f t="shared" si="17"/>
        <v>19.09847241269874</v>
      </c>
      <c r="O120">
        <f t="shared" si="18"/>
        <v>2.3715775340477485</v>
      </c>
      <c r="P120">
        <f t="shared" si="19"/>
        <v>2.3715775340477485</v>
      </c>
      <c r="Q120">
        <f t="shared" si="20"/>
        <v>63.515773010215113</v>
      </c>
    </row>
    <row r="121" spans="1:17" x14ac:dyDescent="0.6">
      <c r="A121">
        <v>120</v>
      </c>
      <c r="B121" s="2" t="s">
        <v>65</v>
      </c>
      <c r="C121" t="s">
        <v>7</v>
      </c>
      <c r="D121">
        <v>160</v>
      </c>
      <c r="F121">
        <v>98</v>
      </c>
      <c r="G121">
        <v>31.35</v>
      </c>
      <c r="H121">
        <f t="shared" ref="H121:H123" si="23">4*D121+2*F121</f>
        <v>836</v>
      </c>
      <c r="I121">
        <v>210</v>
      </c>
      <c r="J121">
        <f t="shared" si="15"/>
        <v>0.43033148291193518</v>
      </c>
      <c r="K121">
        <f t="shared" si="16"/>
        <v>0.85</v>
      </c>
      <c r="L121">
        <v>1</v>
      </c>
      <c r="M121">
        <f t="shared" si="14"/>
        <v>1.7632987945449718</v>
      </c>
      <c r="N121">
        <f t="shared" si="17"/>
        <v>15.093204178506284</v>
      </c>
      <c r="O121">
        <f t="shared" si="18"/>
        <v>1.808511584148689</v>
      </c>
      <c r="P121">
        <f t="shared" si="19"/>
        <v>1.808511584148689</v>
      </c>
      <c r="Q121">
        <f t="shared" si="20"/>
        <v>148.16773706613378</v>
      </c>
    </row>
    <row r="122" spans="1:17" x14ac:dyDescent="0.6">
      <c r="A122">
        <v>121</v>
      </c>
      <c r="B122" s="2" t="s">
        <v>65</v>
      </c>
      <c r="C122" t="s">
        <v>7</v>
      </c>
      <c r="D122">
        <v>200</v>
      </c>
      <c r="F122">
        <v>95</v>
      </c>
      <c r="G122">
        <v>33.344999999999999</v>
      </c>
      <c r="H122">
        <f t="shared" si="23"/>
        <v>990</v>
      </c>
      <c r="I122">
        <v>220</v>
      </c>
      <c r="J122">
        <f t="shared" si="15"/>
        <v>0.43643578047198472</v>
      </c>
      <c r="K122">
        <f t="shared" si="16"/>
        <v>0.85</v>
      </c>
      <c r="L122">
        <v>1</v>
      </c>
      <c r="M122">
        <f t="shared" si="14"/>
        <v>1.8185384959674693</v>
      </c>
      <c r="N122">
        <f t="shared" si="17"/>
        <v>12.852229976551239</v>
      </c>
      <c r="O122">
        <f t="shared" si="18"/>
        <v>1.8651676881717634</v>
      </c>
      <c r="P122">
        <f t="shared" si="19"/>
        <v>1.8651676881717634</v>
      </c>
      <c r="Q122">
        <f t="shared" si="20"/>
        <v>175.41902107255436</v>
      </c>
    </row>
    <row r="123" spans="1:17" x14ac:dyDescent="0.6">
      <c r="A123">
        <v>122</v>
      </c>
      <c r="B123" s="2" t="s">
        <v>65</v>
      </c>
      <c r="C123" t="s">
        <v>7</v>
      </c>
      <c r="D123">
        <v>320</v>
      </c>
      <c r="F123">
        <v>104</v>
      </c>
      <c r="G123">
        <v>34.96</v>
      </c>
      <c r="H123">
        <f t="shared" si="23"/>
        <v>1488</v>
      </c>
      <c r="I123">
        <v>280</v>
      </c>
      <c r="J123">
        <f t="shared" si="15"/>
        <v>0.4188539082916955</v>
      </c>
      <c r="K123">
        <f t="shared" si="16"/>
        <v>0.85</v>
      </c>
      <c r="L123">
        <v>1</v>
      </c>
      <c r="M123">
        <f t="shared" si="14"/>
        <v>1.8620564805209321</v>
      </c>
      <c r="N123">
        <f t="shared" si="17"/>
        <v>9.7535790029475038</v>
      </c>
      <c r="O123">
        <f t="shared" si="18"/>
        <v>1.9098015184830073</v>
      </c>
      <c r="P123">
        <f t="shared" si="19"/>
        <v>1.9098015184830073</v>
      </c>
      <c r="Q123">
        <f t="shared" si="20"/>
        <v>295.54560458828234</v>
      </c>
    </row>
    <row r="124" spans="1:17" x14ac:dyDescent="0.6">
      <c r="A124">
        <v>123</v>
      </c>
      <c r="B124" s="2" t="s">
        <v>65</v>
      </c>
      <c r="C124" t="s">
        <v>12</v>
      </c>
      <c r="D124">
        <v>160</v>
      </c>
      <c r="E124">
        <v>240</v>
      </c>
      <c r="F124">
        <v>93</v>
      </c>
      <c r="G124">
        <v>28.024999999999999</v>
      </c>
      <c r="H124">
        <f t="shared" ref="H124:H129" si="24">2*D124+2*E124+2*F124</f>
        <v>986</v>
      </c>
      <c r="I124">
        <v>220</v>
      </c>
      <c r="J124">
        <f t="shared" si="15"/>
        <v>0.44065264923923175</v>
      </c>
      <c r="K124">
        <f t="shared" si="16"/>
        <v>0.85</v>
      </c>
      <c r="L124">
        <f t="shared" ref="L124:L129" si="25">D124/E124</f>
        <v>0.66666666666666663</v>
      </c>
      <c r="M124">
        <f t="shared" si="14"/>
        <v>2.222893650233857</v>
      </c>
      <c r="N124">
        <f t="shared" si="17"/>
        <v>11.590692424608674</v>
      </c>
      <c r="O124">
        <f t="shared" si="18"/>
        <v>1.7099181924875821</v>
      </c>
      <c r="P124">
        <f t="shared" si="19"/>
        <v>1.7099181924875821</v>
      </c>
      <c r="Q124">
        <f t="shared" si="20"/>
        <v>156.79607841472631</v>
      </c>
    </row>
    <row r="125" spans="1:17" x14ac:dyDescent="0.6">
      <c r="A125">
        <v>124</v>
      </c>
      <c r="B125" s="2" t="s">
        <v>65</v>
      </c>
      <c r="C125" t="s">
        <v>12</v>
      </c>
      <c r="D125">
        <v>133</v>
      </c>
      <c r="E125">
        <v>267</v>
      </c>
      <c r="F125">
        <v>92</v>
      </c>
      <c r="G125">
        <v>33.725000000000001</v>
      </c>
      <c r="H125">
        <f t="shared" si="24"/>
        <v>984</v>
      </c>
      <c r="I125">
        <v>215</v>
      </c>
      <c r="J125">
        <f t="shared" si="15"/>
        <v>0.44280744277004769</v>
      </c>
      <c r="K125">
        <f t="shared" si="16"/>
        <v>0.85</v>
      </c>
      <c r="L125">
        <f t="shared" si="25"/>
        <v>0.49812734082397003</v>
      </c>
      <c r="M125">
        <f t="shared" si="14"/>
        <v>3.0572859144651989</v>
      </c>
      <c r="N125">
        <f t="shared" si="17"/>
        <v>12.609063818487465</v>
      </c>
      <c r="O125">
        <f t="shared" si="18"/>
        <v>1.8757653171439119</v>
      </c>
      <c r="P125">
        <f t="shared" si="19"/>
        <v>1.8757653171439119</v>
      </c>
      <c r="Q125">
        <f t="shared" si="20"/>
        <v>169.80928263040406</v>
      </c>
    </row>
    <row r="126" spans="1:17" x14ac:dyDescent="0.6">
      <c r="A126">
        <v>125</v>
      </c>
      <c r="B126" s="2" t="s">
        <v>65</v>
      </c>
      <c r="C126" t="s">
        <v>12</v>
      </c>
      <c r="D126">
        <v>100</v>
      </c>
      <c r="E126">
        <v>300</v>
      </c>
      <c r="F126">
        <v>90</v>
      </c>
      <c r="G126">
        <v>28.31</v>
      </c>
      <c r="H126">
        <f t="shared" si="24"/>
        <v>980</v>
      </c>
      <c r="I126">
        <v>210</v>
      </c>
      <c r="J126">
        <f t="shared" si="15"/>
        <v>0.44721359549995793</v>
      </c>
      <c r="K126">
        <f t="shared" si="16"/>
        <v>0.85</v>
      </c>
      <c r="L126">
        <f t="shared" si="25"/>
        <v>0.33333333333333331</v>
      </c>
      <c r="M126">
        <f t="shared" si="14"/>
        <v>3.9097938397687608</v>
      </c>
      <c r="N126">
        <f t="shared" si="17"/>
        <v>11.357420159684274</v>
      </c>
      <c r="O126">
        <f t="shared" si="18"/>
        <v>1.7185906987994553</v>
      </c>
      <c r="P126">
        <f t="shared" si="19"/>
        <v>1.7185906987994553</v>
      </c>
      <c r="Q126">
        <f t="shared" si="20"/>
        <v>151.57969963411196</v>
      </c>
    </row>
    <row r="127" spans="1:17" x14ac:dyDescent="0.6">
      <c r="A127">
        <v>126</v>
      </c>
      <c r="B127" s="2" t="s">
        <v>65</v>
      </c>
      <c r="C127" t="s">
        <v>12</v>
      </c>
      <c r="D127">
        <v>80</v>
      </c>
      <c r="E127">
        <v>325</v>
      </c>
      <c r="F127">
        <v>92</v>
      </c>
      <c r="G127">
        <v>27.388500000000001</v>
      </c>
      <c r="H127">
        <f t="shared" si="24"/>
        <v>994</v>
      </c>
      <c r="I127">
        <v>176</v>
      </c>
      <c r="J127">
        <f t="shared" si="15"/>
        <v>0.44280744277004769</v>
      </c>
      <c r="K127">
        <f t="shared" si="16"/>
        <v>0.85</v>
      </c>
      <c r="L127">
        <f t="shared" si="25"/>
        <v>0.24615384615384617</v>
      </c>
      <c r="M127">
        <f t="shared" si="14"/>
        <v>5.0130597423157184</v>
      </c>
      <c r="N127">
        <f t="shared" si="17"/>
        <v>11.254158731570728</v>
      </c>
      <c r="O127">
        <f t="shared" si="18"/>
        <v>1.6903889542055108</v>
      </c>
      <c r="P127">
        <f t="shared" si="19"/>
        <v>1.6903889542055108</v>
      </c>
      <c r="Q127">
        <f t="shared" si="20"/>
        <v>154.58268908418555</v>
      </c>
    </row>
    <row r="128" spans="1:17" x14ac:dyDescent="0.6">
      <c r="A128">
        <v>127</v>
      </c>
      <c r="B128" s="2" t="s">
        <v>65</v>
      </c>
      <c r="C128" t="s">
        <v>12</v>
      </c>
      <c r="D128">
        <v>80</v>
      </c>
      <c r="E128">
        <v>330</v>
      </c>
      <c r="F128">
        <v>99</v>
      </c>
      <c r="G128">
        <v>34.200000000000003</v>
      </c>
      <c r="H128">
        <f t="shared" si="24"/>
        <v>1018</v>
      </c>
      <c r="I128">
        <v>225</v>
      </c>
      <c r="J128">
        <f t="shared" si="15"/>
        <v>0.42835293687811932</v>
      </c>
      <c r="K128">
        <f t="shared" si="16"/>
        <v>0.85</v>
      </c>
      <c r="L128">
        <f t="shared" si="25"/>
        <v>0.24242424242424243</v>
      </c>
      <c r="M128">
        <f t="shared" si="14"/>
        <v>5.6785920367220815</v>
      </c>
      <c r="N128">
        <f t="shared" si="17"/>
        <v>13.182670808609874</v>
      </c>
      <c r="O128">
        <f t="shared" si="18"/>
        <v>1.8889287440239773</v>
      </c>
      <c r="P128">
        <f t="shared" si="19"/>
        <v>1.8889287440239773</v>
      </c>
      <c r="Q128">
        <f t="shared" si="20"/>
        <v>190.37001668022447</v>
      </c>
    </row>
    <row r="129" spans="1:17" x14ac:dyDescent="0.6">
      <c r="A129">
        <v>128</v>
      </c>
      <c r="B129" s="2" t="s">
        <v>65</v>
      </c>
      <c r="C129" t="s">
        <v>12</v>
      </c>
      <c r="D129">
        <v>160</v>
      </c>
      <c r="E129">
        <v>160</v>
      </c>
      <c r="F129">
        <v>99</v>
      </c>
      <c r="G129">
        <v>25.84</v>
      </c>
      <c r="H129">
        <f t="shared" si="24"/>
        <v>838</v>
      </c>
      <c r="I129">
        <v>260</v>
      </c>
      <c r="J129">
        <f t="shared" si="15"/>
        <v>0.42835293687811932</v>
      </c>
      <c r="K129">
        <f t="shared" si="16"/>
        <v>0.85</v>
      </c>
      <c r="L129">
        <f t="shared" si="25"/>
        <v>1</v>
      </c>
      <c r="M129">
        <f t="shared" si="14"/>
        <v>1.6008601454686791</v>
      </c>
      <c r="N129">
        <f t="shared" si="17"/>
        <v>13.805416255113453</v>
      </c>
      <c r="O129">
        <f t="shared" si="18"/>
        <v>1.6419078415063375</v>
      </c>
      <c r="P129">
        <f t="shared" si="19"/>
        <v>1.6419078415063375</v>
      </c>
      <c r="Q129">
        <f t="shared" si="20"/>
        <v>136.2159583470488</v>
      </c>
    </row>
    <row r="130" spans="1:17" x14ac:dyDescent="0.6">
      <c r="A130">
        <v>129</v>
      </c>
      <c r="B130" s="2" t="s">
        <v>65</v>
      </c>
      <c r="C130" t="s">
        <v>7</v>
      </c>
      <c r="D130">
        <v>320</v>
      </c>
      <c r="F130">
        <v>99</v>
      </c>
      <c r="G130">
        <v>31.16</v>
      </c>
      <c r="H130">
        <f>4*D130+2*F130</f>
        <v>1478</v>
      </c>
      <c r="I130">
        <v>360</v>
      </c>
      <c r="J130">
        <f t="shared" si="15"/>
        <v>0.42835293687811932</v>
      </c>
      <c r="K130">
        <f t="shared" si="16"/>
        <v>0.85</v>
      </c>
      <c r="L130">
        <v>1</v>
      </c>
      <c r="M130">
        <f t="shared" ref="M130:M193" si="26">0.19*(1+2/L130)*K130*0.65*(G130)^0.5</f>
        <v>1.7579473442839522</v>
      </c>
      <c r="N130">
        <f t="shared" si="17"/>
        <v>8.8492489335829223</v>
      </c>
      <c r="O130">
        <f t="shared" si="18"/>
        <v>1.80302291721431</v>
      </c>
      <c r="P130">
        <f t="shared" si="19"/>
        <v>1.80302291721431</v>
      </c>
      <c r="Q130">
        <f t="shared" si="20"/>
        <v>263.82191929263223</v>
      </c>
    </row>
    <row r="131" spans="1:17" x14ac:dyDescent="0.6">
      <c r="A131">
        <v>130</v>
      </c>
      <c r="B131" s="2" t="s">
        <v>65</v>
      </c>
      <c r="C131" t="s">
        <v>12</v>
      </c>
      <c r="D131">
        <v>133</v>
      </c>
      <c r="E131">
        <v>267</v>
      </c>
      <c r="F131">
        <v>91</v>
      </c>
      <c r="G131">
        <v>21.184999999999999</v>
      </c>
      <c r="H131">
        <f t="shared" ref="H131:H133" si="27">2*D131+2*E131+2*F131</f>
        <v>982</v>
      </c>
      <c r="I131">
        <v>252</v>
      </c>
      <c r="J131">
        <f t="shared" ref="J131:J194" si="28">(2/(1+F131/10))^0.5</f>
        <v>0.44499415948998478</v>
      </c>
      <c r="K131">
        <f t="shared" ref="K131:K194" si="29">IF(G131&lt;24, 0.75, IF(G131&lt;35, 0.85, 1))</f>
        <v>0.75</v>
      </c>
      <c r="L131">
        <f t="shared" ref="L131:L133" si="30">D131/E131</f>
        <v>0.49812734082397003</v>
      </c>
      <c r="M131">
        <f t="shared" si="26"/>
        <v>2.1380440470259909</v>
      </c>
      <c r="N131">
        <f t="shared" ref="N131:N194" si="31">(40*F131/H131+0.19)*K131*0.65*(G131)^0.5</f>
        <v>8.7435573648431895</v>
      </c>
      <c r="O131">
        <f t="shared" ref="O131:O194" si="32">0.38*K131*(G131)^0.5</f>
        <v>1.3117742279066167</v>
      </c>
      <c r="P131">
        <f t="shared" ref="P131:P194" si="33">O131</f>
        <v>1.3117742279066167</v>
      </c>
      <c r="Q131">
        <f t="shared" ref="Q131:Q194" si="34">P131*H131*F131/1000</f>
        <v>117.22276855419109</v>
      </c>
    </row>
    <row r="132" spans="1:17" x14ac:dyDescent="0.6">
      <c r="A132">
        <v>131</v>
      </c>
      <c r="B132" s="2" t="s">
        <v>65</v>
      </c>
      <c r="C132" t="s">
        <v>12</v>
      </c>
      <c r="D132">
        <v>100</v>
      </c>
      <c r="E132">
        <v>300</v>
      </c>
      <c r="F132">
        <v>92</v>
      </c>
      <c r="G132">
        <v>19.475000000000001</v>
      </c>
      <c r="H132">
        <f t="shared" si="27"/>
        <v>984</v>
      </c>
      <c r="I132">
        <v>220</v>
      </c>
      <c r="J132">
        <f t="shared" si="28"/>
        <v>0.44280744277004769</v>
      </c>
      <c r="K132">
        <f t="shared" si="29"/>
        <v>0.75</v>
      </c>
      <c r="L132">
        <f t="shared" si="30"/>
        <v>0.33333333333333331</v>
      </c>
      <c r="M132">
        <f t="shared" si="26"/>
        <v>2.8613105369169345</v>
      </c>
      <c r="N132">
        <f t="shared" si="31"/>
        <v>8.4545001175471519</v>
      </c>
      <c r="O132">
        <f t="shared" si="32"/>
        <v>1.2577189173261252</v>
      </c>
      <c r="P132">
        <f t="shared" si="33"/>
        <v>1.2577189173261252</v>
      </c>
      <c r="Q132">
        <f t="shared" si="34"/>
        <v>113.85877814769945</v>
      </c>
    </row>
    <row r="133" spans="1:17" x14ac:dyDescent="0.6">
      <c r="A133">
        <v>132</v>
      </c>
      <c r="B133" s="2" t="s">
        <v>65</v>
      </c>
      <c r="C133" t="s">
        <v>12</v>
      </c>
      <c r="D133">
        <v>80</v>
      </c>
      <c r="E133">
        <v>320</v>
      </c>
      <c r="F133">
        <v>92</v>
      </c>
      <c r="G133">
        <v>17.385000000000002</v>
      </c>
      <c r="H133">
        <f t="shared" si="27"/>
        <v>984</v>
      </c>
      <c r="I133">
        <v>210</v>
      </c>
      <c r="J133">
        <f t="shared" si="28"/>
        <v>0.44280744277004769</v>
      </c>
      <c r="K133">
        <f t="shared" si="29"/>
        <v>0.75</v>
      </c>
      <c r="L133">
        <f t="shared" si="30"/>
        <v>0.25</v>
      </c>
      <c r="M133">
        <f t="shared" si="26"/>
        <v>3.4758264034996955</v>
      </c>
      <c r="N133">
        <f t="shared" si="31"/>
        <v>7.9879722752800255</v>
      </c>
      <c r="O133">
        <f t="shared" si="32"/>
        <v>1.1883167191451951</v>
      </c>
      <c r="P133">
        <f t="shared" si="33"/>
        <v>1.1883167191451951</v>
      </c>
      <c r="Q133">
        <f t="shared" si="34"/>
        <v>107.57593595077623</v>
      </c>
    </row>
    <row r="134" spans="1:17" x14ac:dyDescent="0.6">
      <c r="A134">
        <v>133</v>
      </c>
      <c r="B134" s="2" t="s">
        <v>66</v>
      </c>
      <c r="C134" t="s">
        <v>7</v>
      </c>
      <c r="D134">
        <v>150</v>
      </c>
      <c r="F134">
        <v>100</v>
      </c>
      <c r="G134">
        <v>33.15</v>
      </c>
      <c r="H134">
        <f t="shared" ref="H134:H175" si="35">4*D134+2*F134</f>
        <v>800</v>
      </c>
      <c r="I134">
        <v>174</v>
      </c>
      <c r="J134">
        <f t="shared" si="28"/>
        <v>0.42640143271122088</v>
      </c>
      <c r="K134">
        <f t="shared" si="29"/>
        <v>0.85</v>
      </c>
      <c r="L134">
        <v>1</v>
      </c>
      <c r="M134">
        <f t="shared" si="26"/>
        <v>1.8132133352059678</v>
      </c>
      <c r="N134">
        <f t="shared" si="31"/>
        <v>16.50978457845434</v>
      </c>
      <c r="O134">
        <f t="shared" si="32"/>
        <v>1.8597059848266337</v>
      </c>
      <c r="P134">
        <f t="shared" si="33"/>
        <v>1.8597059848266337</v>
      </c>
      <c r="Q134">
        <f t="shared" si="34"/>
        <v>148.7764787861307</v>
      </c>
    </row>
    <row r="135" spans="1:17" x14ac:dyDescent="0.6">
      <c r="A135">
        <v>134</v>
      </c>
      <c r="B135" s="2" t="s">
        <v>66</v>
      </c>
      <c r="C135" t="s">
        <v>7</v>
      </c>
      <c r="D135">
        <v>150</v>
      </c>
      <c r="F135">
        <v>100</v>
      </c>
      <c r="G135">
        <v>32.340000000000003</v>
      </c>
      <c r="H135">
        <f t="shared" si="35"/>
        <v>800</v>
      </c>
      <c r="I135">
        <v>137</v>
      </c>
      <c r="J135">
        <f t="shared" si="28"/>
        <v>0.42640143271122088</v>
      </c>
      <c r="K135">
        <f t="shared" si="29"/>
        <v>0.85</v>
      </c>
      <c r="L135">
        <v>1</v>
      </c>
      <c r="M135">
        <f t="shared" si="26"/>
        <v>1.7909239562059862</v>
      </c>
      <c r="N135">
        <f t="shared" si="31"/>
        <v>16.306833917033455</v>
      </c>
      <c r="O135">
        <f t="shared" si="32"/>
        <v>1.8368450832881908</v>
      </c>
      <c r="P135">
        <f t="shared" si="33"/>
        <v>1.8368450832881908</v>
      </c>
      <c r="Q135">
        <f t="shared" si="34"/>
        <v>146.94760666305524</v>
      </c>
    </row>
    <row r="136" spans="1:17" x14ac:dyDescent="0.6">
      <c r="A136">
        <v>135</v>
      </c>
      <c r="B136" s="2" t="s">
        <v>66</v>
      </c>
      <c r="C136" t="s">
        <v>7</v>
      </c>
      <c r="D136">
        <v>100</v>
      </c>
      <c r="F136">
        <v>100</v>
      </c>
      <c r="G136">
        <v>34.372500000000002</v>
      </c>
      <c r="H136">
        <f t="shared" si="35"/>
        <v>600</v>
      </c>
      <c r="I136">
        <v>150</v>
      </c>
      <c r="J136">
        <f t="shared" si="28"/>
        <v>0.42640143271122088</v>
      </c>
      <c r="K136">
        <f t="shared" si="29"/>
        <v>0.85</v>
      </c>
      <c r="L136">
        <v>1</v>
      </c>
      <c r="M136">
        <f t="shared" si="26"/>
        <v>1.8463443354965814</v>
      </c>
      <c r="N136">
        <f t="shared" si="31"/>
        <v>22.210118702435487</v>
      </c>
      <c r="O136">
        <f t="shared" si="32"/>
        <v>1.8936864979452117</v>
      </c>
      <c r="P136">
        <f t="shared" si="33"/>
        <v>1.8936864979452117</v>
      </c>
      <c r="Q136">
        <f t="shared" si="34"/>
        <v>113.62118987671271</v>
      </c>
    </row>
    <row r="137" spans="1:17" x14ac:dyDescent="0.6">
      <c r="A137">
        <v>136</v>
      </c>
      <c r="B137" s="2" t="s">
        <v>66</v>
      </c>
      <c r="C137" t="s">
        <v>7</v>
      </c>
      <c r="D137">
        <v>200</v>
      </c>
      <c r="F137">
        <v>100</v>
      </c>
      <c r="G137">
        <v>34.125</v>
      </c>
      <c r="H137">
        <f t="shared" si="35"/>
        <v>1000</v>
      </c>
      <c r="I137">
        <v>191</v>
      </c>
      <c r="J137">
        <f t="shared" si="28"/>
        <v>0.42640143271122088</v>
      </c>
      <c r="K137">
        <f t="shared" si="29"/>
        <v>0.85</v>
      </c>
      <c r="L137">
        <v>1</v>
      </c>
      <c r="M137">
        <f t="shared" si="26"/>
        <v>1.8396850031195899</v>
      </c>
      <c r="N137">
        <f t="shared" si="31"/>
        <v>13.523298531703652</v>
      </c>
      <c r="O137">
        <f t="shared" si="32"/>
        <v>1.8868564134559898</v>
      </c>
      <c r="P137">
        <f t="shared" si="33"/>
        <v>1.8868564134559898</v>
      </c>
      <c r="Q137">
        <f t="shared" si="34"/>
        <v>188.68564134559898</v>
      </c>
    </row>
    <row r="138" spans="1:17" x14ac:dyDescent="0.6">
      <c r="A138">
        <v>137</v>
      </c>
      <c r="B138" s="2" t="s">
        <v>64</v>
      </c>
      <c r="C138" t="s">
        <v>7</v>
      </c>
      <c r="D138">
        <v>200</v>
      </c>
      <c r="F138">
        <v>275</v>
      </c>
      <c r="G138">
        <v>64.139250000000004</v>
      </c>
      <c r="H138">
        <f t="shared" si="35"/>
        <v>1350</v>
      </c>
      <c r="I138">
        <v>2050</v>
      </c>
      <c r="J138">
        <f t="shared" si="28"/>
        <v>0.26490647141300877</v>
      </c>
      <c r="K138">
        <f t="shared" si="29"/>
        <v>1</v>
      </c>
      <c r="L138">
        <v>1</v>
      </c>
      <c r="M138">
        <f t="shared" si="26"/>
        <v>2.967222755762112</v>
      </c>
      <c r="N138">
        <f t="shared" si="31"/>
        <v>43.405513905440174</v>
      </c>
      <c r="O138">
        <f t="shared" si="32"/>
        <v>3.043305390525243</v>
      </c>
      <c r="P138">
        <f t="shared" si="33"/>
        <v>3.043305390525243</v>
      </c>
      <c r="Q138">
        <f t="shared" si="34"/>
        <v>1129.8271262324965</v>
      </c>
    </row>
    <row r="139" spans="1:17" x14ac:dyDescent="0.6">
      <c r="A139">
        <v>138</v>
      </c>
      <c r="B139" s="2" t="s">
        <v>64</v>
      </c>
      <c r="C139" t="s">
        <v>7</v>
      </c>
      <c r="D139">
        <v>150</v>
      </c>
      <c r="F139">
        <v>200</v>
      </c>
      <c r="G139">
        <v>70.024500000000003</v>
      </c>
      <c r="H139">
        <f t="shared" si="35"/>
        <v>1000</v>
      </c>
      <c r="I139">
        <v>1200</v>
      </c>
      <c r="J139">
        <f t="shared" si="28"/>
        <v>0.30860669992418382</v>
      </c>
      <c r="K139">
        <f t="shared" si="29"/>
        <v>1</v>
      </c>
      <c r="L139">
        <v>1</v>
      </c>
      <c r="M139">
        <f t="shared" si="26"/>
        <v>3.1003678202956828</v>
      </c>
      <c r="N139">
        <f t="shared" si="31"/>
        <v>44.547390260037965</v>
      </c>
      <c r="O139">
        <f t="shared" si="32"/>
        <v>3.1798644310724948</v>
      </c>
      <c r="P139">
        <f t="shared" si="33"/>
        <v>3.1798644310724948</v>
      </c>
      <c r="Q139">
        <f t="shared" si="34"/>
        <v>635.972886214499</v>
      </c>
    </row>
    <row r="140" spans="1:17" x14ac:dyDescent="0.6">
      <c r="A140">
        <v>139</v>
      </c>
      <c r="B140" s="2" t="s">
        <v>64</v>
      </c>
      <c r="C140" t="s">
        <v>7</v>
      </c>
      <c r="D140">
        <v>200</v>
      </c>
      <c r="F140">
        <v>275</v>
      </c>
      <c r="G140">
        <v>83.490750000000006</v>
      </c>
      <c r="H140">
        <f t="shared" si="35"/>
        <v>1350</v>
      </c>
      <c r="I140">
        <v>2250</v>
      </c>
      <c r="J140">
        <f t="shared" si="28"/>
        <v>0.26490647141300877</v>
      </c>
      <c r="K140">
        <f t="shared" si="29"/>
        <v>1</v>
      </c>
      <c r="L140">
        <v>1</v>
      </c>
      <c r="M140">
        <f t="shared" si="26"/>
        <v>3.385379760852171</v>
      </c>
      <c r="N140">
        <f t="shared" si="31"/>
        <v>49.522452603031141</v>
      </c>
      <c r="O140">
        <f t="shared" si="32"/>
        <v>3.4721843701047903</v>
      </c>
      <c r="P140">
        <f t="shared" si="33"/>
        <v>3.4721843701047903</v>
      </c>
      <c r="Q140">
        <f t="shared" si="34"/>
        <v>1289.0484474014031</v>
      </c>
    </row>
    <row r="141" spans="1:17" x14ac:dyDescent="0.6">
      <c r="A141">
        <v>140</v>
      </c>
      <c r="B141" s="2" t="s">
        <v>64</v>
      </c>
      <c r="C141" t="s">
        <v>7</v>
      </c>
      <c r="D141">
        <v>200</v>
      </c>
      <c r="F141">
        <v>275</v>
      </c>
      <c r="G141">
        <v>89.675250000000005</v>
      </c>
      <c r="H141">
        <f t="shared" si="35"/>
        <v>1350</v>
      </c>
      <c r="I141">
        <v>2400</v>
      </c>
      <c r="J141">
        <f t="shared" si="28"/>
        <v>0.26490647141300877</v>
      </c>
      <c r="K141">
        <f t="shared" si="29"/>
        <v>1</v>
      </c>
      <c r="L141">
        <v>1</v>
      </c>
      <c r="M141">
        <f t="shared" si="26"/>
        <v>3.5085244742359296</v>
      </c>
      <c r="N141">
        <f t="shared" si="31"/>
        <v>51.32385411856626</v>
      </c>
      <c r="O141">
        <f t="shared" si="32"/>
        <v>3.5984866402419784</v>
      </c>
      <c r="P141">
        <f t="shared" si="33"/>
        <v>3.5984866402419784</v>
      </c>
      <c r="Q141">
        <f t="shared" si="34"/>
        <v>1335.9381651898343</v>
      </c>
    </row>
    <row r="142" spans="1:17" x14ac:dyDescent="0.6">
      <c r="A142">
        <v>141</v>
      </c>
      <c r="B142" s="2" t="s">
        <v>64</v>
      </c>
      <c r="C142" t="s">
        <v>7</v>
      </c>
      <c r="D142">
        <v>150</v>
      </c>
      <c r="F142">
        <v>200</v>
      </c>
      <c r="G142">
        <v>87.979500000000002</v>
      </c>
      <c r="H142">
        <f t="shared" si="35"/>
        <v>1000</v>
      </c>
      <c r="I142">
        <v>1100</v>
      </c>
      <c r="J142">
        <f t="shared" si="28"/>
        <v>0.30860669992418382</v>
      </c>
      <c r="K142">
        <f t="shared" si="29"/>
        <v>1</v>
      </c>
      <c r="L142">
        <v>1</v>
      </c>
      <c r="M142">
        <f t="shared" si="26"/>
        <v>3.4751932262645489</v>
      </c>
      <c r="N142">
        <f t="shared" si="31"/>
        <v>49.933039514222195</v>
      </c>
      <c r="O142">
        <f t="shared" si="32"/>
        <v>3.5643007448867161</v>
      </c>
      <c r="P142">
        <f t="shared" si="33"/>
        <v>3.5643007448867161</v>
      </c>
      <c r="Q142">
        <f t="shared" si="34"/>
        <v>712.86014897734321</v>
      </c>
    </row>
    <row r="143" spans="1:17" x14ac:dyDescent="0.6">
      <c r="A143">
        <v>142</v>
      </c>
      <c r="B143" s="2" t="s">
        <v>64</v>
      </c>
      <c r="C143" t="s">
        <v>7</v>
      </c>
      <c r="D143">
        <v>150</v>
      </c>
      <c r="F143">
        <v>200</v>
      </c>
      <c r="G143">
        <v>86.483249999999998</v>
      </c>
      <c r="H143">
        <f t="shared" si="35"/>
        <v>1000</v>
      </c>
      <c r="I143">
        <v>1300</v>
      </c>
      <c r="J143">
        <f t="shared" si="28"/>
        <v>0.30860669992418382</v>
      </c>
      <c r="K143">
        <f t="shared" si="29"/>
        <v>1</v>
      </c>
      <c r="L143">
        <v>1</v>
      </c>
      <c r="M143">
        <f t="shared" si="26"/>
        <v>3.4455155417313827</v>
      </c>
      <c r="N143">
        <f t="shared" si="31"/>
        <v>49.506618046982496</v>
      </c>
      <c r="O143">
        <f t="shared" si="32"/>
        <v>3.5338620940834691</v>
      </c>
      <c r="P143">
        <f t="shared" si="33"/>
        <v>3.5338620940834691</v>
      </c>
      <c r="Q143">
        <f t="shared" si="34"/>
        <v>706.77241881669386</v>
      </c>
    </row>
    <row r="144" spans="1:17" x14ac:dyDescent="0.6">
      <c r="A144">
        <v>143</v>
      </c>
      <c r="B144" s="2" t="s">
        <v>64</v>
      </c>
      <c r="C144" t="s">
        <v>7</v>
      </c>
      <c r="D144">
        <v>150</v>
      </c>
      <c r="F144">
        <v>200</v>
      </c>
      <c r="G144">
        <v>89.276250000000005</v>
      </c>
      <c r="H144">
        <f t="shared" si="35"/>
        <v>1000</v>
      </c>
      <c r="I144">
        <v>1450</v>
      </c>
      <c r="J144">
        <f t="shared" si="28"/>
        <v>0.30860669992418382</v>
      </c>
      <c r="K144">
        <f t="shared" si="29"/>
        <v>1</v>
      </c>
      <c r="L144">
        <v>1</v>
      </c>
      <c r="M144">
        <f t="shared" si="26"/>
        <v>3.5007103788463425</v>
      </c>
      <c r="N144">
        <f t="shared" si="31"/>
        <v>50.299680706581654</v>
      </c>
      <c r="O144">
        <f t="shared" si="32"/>
        <v>3.5904721834321456</v>
      </c>
      <c r="P144">
        <f t="shared" si="33"/>
        <v>3.5904721834321456</v>
      </c>
      <c r="Q144">
        <f t="shared" si="34"/>
        <v>718.09443668642905</v>
      </c>
    </row>
    <row r="145" spans="1:17" x14ac:dyDescent="0.6">
      <c r="A145">
        <v>144</v>
      </c>
      <c r="B145" s="2" t="s">
        <v>64</v>
      </c>
      <c r="C145" t="s">
        <v>7</v>
      </c>
      <c r="D145">
        <v>150</v>
      </c>
      <c r="F145">
        <v>200</v>
      </c>
      <c r="G145">
        <v>80.099249999999998</v>
      </c>
      <c r="H145">
        <f t="shared" si="35"/>
        <v>1000</v>
      </c>
      <c r="I145">
        <v>1250</v>
      </c>
      <c r="J145">
        <f t="shared" si="28"/>
        <v>0.30860669992418382</v>
      </c>
      <c r="K145">
        <f t="shared" si="29"/>
        <v>1</v>
      </c>
      <c r="L145">
        <v>1</v>
      </c>
      <c r="M145">
        <f t="shared" si="26"/>
        <v>3.3159077297645823</v>
      </c>
      <c r="N145">
        <f t="shared" si="31"/>
        <v>47.644358432933203</v>
      </c>
      <c r="O145">
        <f t="shared" si="32"/>
        <v>3.4009310048867505</v>
      </c>
      <c r="P145">
        <f t="shared" si="33"/>
        <v>3.4009310048867505</v>
      </c>
      <c r="Q145">
        <f t="shared" si="34"/>
        <v>680.18620097735015</v>
      </c>
    </row>
    <row r="146" spans="1:17" x14ac:dyDescent="0.6">
      <c r="A146">
        <v>145</v>
      </c>
      <c r="B146" s="2" t="s">
        <v>64</v>
      </c>
      <c r="C146" t="s">
        <v>7</v>
      </c>
      <c r="D146">
        <v>150</v>
      </c>
      <c r="F146">
        <v>200</v>
      </c>
      <c r="G146">
        <v>97.754999999999995</v>
      </c>
      <c r="H146">
        <f t="shared" si="35"/>
        <v>1000</v>
      </c>
      <c r="I146">
        <v>1450</v>
      </c>
      <c r="J146">
        <f t="shared" si="28"/>
        <v>0.30860669992418382</v>
      </c>
      <c r="K146">
        <f t="shared" si="29"/>
        <v>1</v>
      </c>
      <c r="L146">
        <v>1</v>
      </c>
      <c r="M146">
        <f t="shared" si="26"/>
        <v>3.6631753013949528</v>
      </c>
      <c r="N146">
        <f t="shared" si="31"/>
        <v>52.634045120043268</v>
      </c>
      <c r="O146">
        <f t="shared" si="32"/>
        <v>3.7571028732255924</v>
      </c>
      <c r="P146">
        <f t="shared" si="33"/>
        <v>3.7571028732255924</v>
      </c>
      <c r="Q146">
        <f t="shared" si="34"/>
        <v>751.42057464511845</v>
      </c>
    </row>
    <row r="147" spans="1:17" x14ac:dyDescent="0.6">
      <c r="A147">
        <v>146</v>
      </c>
      <c r="B147" s="2" t="s">
        <v>64</v>
      </c>
      <c r="C147" t="s">
        <v>7</v>
      </c>
      <c r="D147">
        <v>100</v>
      </c>
      <c r="F147">
        <v>88</v>
      </c>
      <c r="G147">
        <v>84.887249999999995</v>
      </c>
      <c r="H147">
        <f t="shared" si="35"/>
        <v>576</v>
      </c>
      <c r="I147">
        <v>330</v>
      </c>
      <c r="J147">
        <f t="shared" si="28"/>
        <v>0.45175395145262559</v>
      </c>
      <c r="K147">
        <f t="shared" si="29"/>
        <v>1</v>
      </c>
      <c r="L147">
        <v>1</v>
      </c>
      <c r="M147">
        <f t="shared" si="26"/>
        <v>3.413574963189252</v>
      </c>
      <c r="N147">
        <f t="shared" si="31"/>
        <v>37.735640577478065</v>
      </c>
      <c r="O147">
        <f t="shared" si="32"/>
        <v>3.5011025263479505</v>
      </c>
      <c r="P147">
        <f t="shared" si="33"/>
        <v>3.5011025263479505</v>
      </c>
      <c r="Q147">
        <f t="shared" si="34"/>
        <v>177.4638848555249</v>
      </c>
    </row>
    <row r="148" spans="1:17" x14ac:dyDescent="0.6">
      <c r="A148">
        <v>147</v>
      </c>
      <c r="B148" s="2" t="s">
        <v>64</v>
      </c>
      <c r="C148" t="s">
        <v>7</v>
      </c>
      <c r="D148">
        <v>200</v>
      </c>
      <c r="F148">
        <v>275</v>
      </c>
      <c r="G148">
        <v>111.72</v>
      </c>
      <c r="H148">
        <f t="shared" si="35"/>
        <v>1350</v>
      </c>
      <c r="I148">
        <v>2450</v>
      </c>
      <c r="J148">
        <f t="shared" si="28"/>
        <v>0.26490647141300877</v>
      </c>
      <c r="K148">
        <f t="shared" si="29"/>
        <v>1</v>
      </c>
      <c r="L148">
        <v>1</v>
      </c>
      <c r="M148">
        <f t="shared" si="26"/>
        <v>3.9160991215749381</v>
      </c>
      <c r="N148">
        <f t="shared" si="31"/>
        <v>57.285990593902909</v>
      </c>
      <c r="O148">
        <f t="shared" si="32"/>
        <v>4.0165119195640386</v>
      </c>
      <c r="P148">
        <f t="shared" si="33"/>
        <v>4.0165119195640386</v>
      </c>
      <c r="Q148">
        <f t="shared" si="34"/>
        <v>1491.1300501381493</v>
      </c>
    </row>
    <row r="149" spans="1:17" x14ac:dyDescent="0.6">
      <c r="A149">
        <v>148</v>
      </c>
      <c r="B149" s="2" t="s">
        <v>64</v>
      </c>
      <c r="C149" t="s">
        <v>7</v>
      </c>
      <c r="D149">
        <v>150</v>
      </c>
      <c r="F149">
        <v>200</v>
      </c>
      <c r="G149">
        <v>118.7025</v>
      </c>
      <c r="H149">
        <f t="shared" si="35"/>
        <v>1000</v>
      </c>
      <c r="I149">
        <v>1400</v>
      </c>
      <c r="J149">
        <f t="shared" si="28"/>
        <v>0.30860669992418382</v>
      </c>
      <c r="K149">
        <f t="shared" si="29"/>
        <v>1</v>
      </c>
      <c r="L149">
        <v>1</v>
      </c>
      <c r="M149">
        <f t="shared" si="26"/>
        <v>4.0366225796605022</v>
      </c>
      <c r="N149">
        <f t="shared" si="31"/>
        <v>57.999892855121942</v>
      </c>
      <c r="O149">
        <f t="shared" si="32"/>
        <v>4.1401257227287189</v>
      </c>
      <c r="P149">
        <f t="shared" si="33"/>
        <v>4.1401257227287189</v>
      </c>
      <c r="Q149">
        <f t="shared" si="34"/>
        <v>828.02514454574373</v>
      </c>
    </row>
    <row r="150" spans="1:17" x14ac:dyDescent="0.6">
      <c r="A150">
        <v>149</v>
      </c>
      <c r="B150" s="2" t="s">
        <v>64</v>
      </c>
      <c r="C150" t="s">
        <v>7</v>
      </c>
      <c r="D150">
        <v>150</v>
      </c>
      <c r="F150">
        <v>200</v>
      </c>
      <c r="G150">
        <v>107.82975</v>
      </c>
      <c r="H150">
        <f t="shared" si="35"/>
        <v>1000</v>
      </c>
      <c r="I150">
        <v>1550</v>
      </c>
      <c r="J150">
        <f t="shared" si="28"/>
        <v>0.30860669992418382</v>
      </c>
      <c r="K150">
        <f t="shared" si="29"/>
        <v>1</v>
      </c>
      <c r="L150">
        <v>1</v>
      </c>
      <c r="M150">
        <f t="shared" si="26"/>
        <v>3.8473129246186231</v>
      </c>
      <c r="N150">
        <f t="shared" si="31"/>
        <v>55.279812022151788</v>
      </c>
      <c r="O150">
        <f t="shared" si="32"/>
        <v>3.945961973967818</v>
      </c>
      <c r="P150">
        <f t="shared" si="33"/>
        <v>3.945961973967818</v>
      </c>
      <c r="Q150">
        <f t="shared" si="34"/>
        <v>789.19239479356349</v>
      </c>
    </row>
    <row r="151" spans="1:17" x14ac:dyDescent="0.6">
      <c r="A151">
        <v>150</v>
      </c>
      <c r="B151" s="2" t="s">
        <v>67</v>
      </c>
      <c r="C151" t="s">
        <v>7</v>
      </c>
      <c r="D151">
        <v>200</v>
      </c>
      <c r="F151">
        <v>134</v>
      </c>
      <c r="G151">
        <v>31.54</v>
      </c>
      <c r="H151">
        <f t="shared" si="35"/>
        <v>1068</v>
      </c>
      <c r="I151">
        <v>257</v>
      </c>
      <c r="J151">
        <f t="shared" si="28"/>
        <v>0.37267799624996495</v>
      </c>
      <c r="K151">
        <f t="shared" si="29"/>
        <v>0.85</v>
      </c>
      <c r="L151">
        <v>1</v>
      </c>
      <c r="M151">
        <f t="shared" si="26"/>
        <v>1.7686340527120075</v>
      </c>
      <c r="N151">
        <f t="shared" si="31"/>
        <v>16.161984599041791</v>
      </c>
      <c r="O151">
        <f t="shared" si="32"/>
        <v>1.813983643807187</v>
      </c>
      <c r="P151">
        <f t="shared" si="33"/>
        <v>1.813983643807187</v>
      </c>
      <c r="Q151">
        <f t="shared" si="34"/>
        <v>259.60282723253414</v>
      </c>
    </row>
    <row r="152" spans="1:17" x14ac:dyDescent="0.6">
      <c r="A152">
        <v>151</v>
      </c>
      <c r="B152" s="2" t="s">
        <v>67</v>
      </c>
      <c r="C152" t="s">
        <v>7</v>
      </c>
      <c r="D152">
        <v>200</v>
      </c>
      <c r="F152">
        <v>107</v>
      </c>
      <c r="G152">
        <v>33.82</v>
      </c>
      <c r="H152">
        <f t="shared" si="35"/>
        <v>1014</v>
      </c>
      <c r="I152">
        <v>264</v>
      </c>
      <c r="J152">
        <f t="shared" si="28"/>
        <v>0.4134491152973615</v>
      </c>
      <c r="K152">
        <f t="shared" si="29"/>
        <v>0.85</v>
      </c>
      <c r="L152">
        <v>1</v>
      </c>
      <c r="M152">
        <f t="shared" si="26"/>
        <v>1.8314452476766812</v>
      </c>
      <c r="N152">
        <f t="shared" si="31"/>
        <v>14.172517909743567</v>
      </c>
      <c r="O152">
        <f t="shared" si="32"/>
        <v>1.8784053822324935</v>
      </c>
      <c r="P152">
        <f t="shared" si="33"/>
        <v>1.8784053822324935</v>
      </c>
      <c r="Q152">
        <f t="shared" si="34"/>
        <v>203.80322716146108</v>
      </c>
    </row>
    <row r="153" spans="1:17" x14ac:dyDescent="0.6">
      <c r="A153">
        <v>152</v>
      </c>
      <c r="B153" s="2" t="s">
        <v>67</v>
      </c>
      <c r="C153" t="s">
        <v>7</v>
      </c>
      <c r="D153">
        <v>200</v>
      </c>
      <c r="F153">
        <v>124.7</v>
      </c>
      <c r="G153">
        <v>24.7</v>
      </c>
      <c r="H153">
        <f t="shared" si="35"/>
        <v>1049.4000000000001</v>
      </c>
      <c r="I153">
        <v>258</v>
      </c>
      <c r="J153">
        <f t="shared" si="28"/>
        <v>0.38532856042645819</v>
      </c>
      <c r="K153">
        <f t="shared" si="29"/>
        <v>0.85</v>
      </c>
      <c r="L153">
        <v>1</v>
      </c>
      <c r="M153">
        <f t="shared" si="26"/>
        <v>1.5651487354042428</v>
      </c>
      <c r="N153">
        <f t="shared" si="31"/>
        <v>13.573388031178506</v>
      </c>
      <c r="O153">
        <f t="shared" si="32"/>
        <v>1.6052807542607617</v>
      </c>
      <c r="P153">
        <f t="shared" si="33"/>
        <v>1.6052807542607617</v>
      </c>
      <c r="Q153">
        <f t="shared" si="34"/>
        <v>210.06732845309907</v>
      </c>
    </row>
    <row r="154" spans="1:17" x14ac:dyDescent="0.6">
      <c r="A154">
        <v>153</v>
      </c>
      <c r="B154" s="2" t="s">
        <v>67</v>
      </c>
      <c r="C154" t="s">
        <v>7</v>
      </c>
      <c r="D154">
        <v>200</v>
      </c>
      <c r="F154">
        <v>124.7</v>
      </c>
      <c r="G154">
        <v>24.7</v>
      </c>
      <c r="H154">
        <f t="shared" si="35"/>
        <v>1049.4000000000001</v>
      </c>
      <c r="I154">
        <v>258</v>
      </c>
      <c r="J154">
        <f t="shared" si="28"/>
        <v>0.38532856042645819</v>
      </c>
      <c r="K154">
        <f t="shared" si="29"/>
        <v>0.85</v>
      </c>
      <c r="L154">
        <v>1</v>
      </c>
      <c r="M154">
        <f t="shared" si="26"/>
        <v>1.5651487354042428</v>
      </c>
      <c r="N154">
        <f t="shared" si="31"/>
        <v>13.573388031178506</v>
      </c>
      <c r="O154">
        <f t="shared" si="32"/>
        <v>1.6052807542607617</v>
      </c>
      <c r="P154">
        <f t="shared" si="33"/>
        <v>1.6052807542607617</v>
      </c>
      <c r="Q154">
        <f t="shared" si="34"/>
        <v>210.06732845309907</v>
      </c>
    </row>
    <row r="155" spans="1:17" x14ac:dyDescent="0.6">
      <c r="A155">
        <v>154</v>
      </c>
      <c r="B155" s="2" t="s">
        <v>67</v>
      </c>
      <c r="C155" t="s">
        <v>7</v>
      </c>
      <c r="D155">
        <v>200</v>
      </c>
      <c r="F155">
        <v>124.7</v>
      </c>
      <c r="G155">
        <v>24.7</v>
      </c>
      <c r="H155">
        <f t="shared" si="35"/>
        <v>1049.4000000000001</v>
      </c>
      <c r="I155">
        <v>319</v>
      </c>
      <c r="J155">
        <f t="shared" si="28"/>
        <v>0.38532856042645819</v>
      </c>
      <c r="K155">
        <f t="shared" si="29"/>
        <v>0.85</v>
      </c>
      <c r="L155">
        <v>1</v>
      </c>
      <c r="M155">
        <f t="shared" si="26"/>
        <v>1.5651487354042428</v>
      </c>
      <c r="N155">
        <f t="shared" si="31"/>
        <v>13.573388031178506</v>
      </c>
      <c r="O155">
        <f t="shared" si="32"/>
        <v>1.6052807542607617</v>
      </c>
      <c r="P155">
        <f t="shared" si="33"/>
        <v>1.6052807542607617</v>
      </c>
      <c r="Q155">
        <f t="shared" si="34"/>
        <v>210.06732845309907</v>
      </c>
    </row>
    <row r="156" spans="1:17" x14ac:dyDescent="0.6">
      <c r="A156">
        <v>155</v>
      </c>
      <c r="B156" s="2" t="s">
        <v>67</v>
      </c>
      <c r="C156" t="s">
        <v>7</v>
      </c>
      <c r="D156">
        <v>200</v>
      </c>
      <c r="F156">
        <v>124.7</v>
      </c>
      <c r="G156">
        <v>33.534999999999997</v>
      </c>
      <c r="H156">
        <f t="shared" si="35"/>
        <v>1049.4000000000001</v>
      </c>
      <c r="I156">
        <v>304</v>
      </c>
      <c r="J156">
        <f t="shared" si="28"/>
        <v>0.38532856042645819</v>
      </c>
      <c r="K156">
        <f t="shared" si="29"/>
        <v>0.85</v>
      </c>
      <c r="L156">
        <v>1</v>
      </c>
      <c r="M156">
        <f t="shared" si="26"/>
        <v>1.8237121579033175</v>
      </c>
      <c r="N156">
        <f t="shared" si="31"/>
        <v>15.815719117586756</v>
      </c>
      <c r="O156">
        <f t="shared" si="32"/>
        <v>1.8704740081059668</v>
      </c>
      <c r="P156">
        <f t="shared" si="33"/>
        <v>1.8704740081059668</v>
      </c>
      <c r="Q156">
        <f t="shared" si="34"/>
        <v>244.77056538606828</v>
      </c>
    </row>
    <row r="157" spans="1:17" x14ac:dyDescent="0.6">
      <c r="A157">
        <v>156</v>
      </c>
      <c r="B157" s="2" t="s">
        <v>67</v>
      </c>
      <c r="C157" t="s">
        <v>7</v>
      </c>
      <c r="D157">
        <v>200</v>
      </c>
      <c r="F157">
        <v>124.7</v>
      </c>
      <c r="G157">
        <v>33.534999999999997</v>
      </c>
      <c r="H157">
        <f t="shared" si="35"/>
        <v>1049.4000000000001</v>
      </c>
      <c r="I157">
        <v>282</v>
      </c>
      <c r="J157">
        <f t="shared" si="28"/>
        <v>0.38532856042645819</v>
      </c>
      <c r="K157">
        <f t="shared" si="29"/>
        <v>0.85</v>
      </c>
      <c r="L157">
        <v>1</v>
      </c>
      <c r="M157">
        <f t="shared" si="26"/>
        <v>1.8237121579033175</v>
      </c>
      <c r="N157">
        <f t="shared" si="31"/>
        <v>15.815719117586756</v>
      </c>
      <c r="O157">
        <f t="shared" si="32"/>
        <v>1.8704740081059668</v>
      </c>
      <c r="P157">
        <f t="shared" si="33"/>
        <v>1.8704740081059668</v>
      </c>
      <c r="Q157">
        <f t="shared" si="34"/>
        <v>244.77056538606828</v>
      </c>
    </row>
    <row r="158" spans="1:17" x14ac:dyDescent="0.6">
      <c r="A158">
        <v>157</v>
      </c>
      <c r="B158" s="2" t="s">
        <v>67</v>
      </c>
      <c r="C158" t="s">
        <v>7</v>
      </c>
      <c r="D158">
        <v>200</v>
      </c>
      <c r="F158">
        <v>124.7</v>
      </c>
      <c r="G158">
        <v>33.534999999999997</v>
      </c>
      <c r="H158">
        <f t="shared" si="35"/>
        <v>1049.4000000000001</v>
      </c>
      <c r="I158">
        <v>343</v>
      </c>
      <c r="J158">
        <f t="shared" si="28"/>
        <v>0.38532856042645819</v>
      </c>
      <c r="K158">
        <f t="shared" si="29"/>
        <v>0.85</v>
      </c>
      <c r="L158">
        <v>1</v>
      </c>
      <c r="M158">
        <f t="shared" si="26"/>
        <v>1.8237121579033175</v>
      </c>
      <c r="N158">
        <f t="shared" si="31"/>
        <v>15.815719117586756</v>
      </c>
      <c r="O158">
        <f t="shared" si="32"/>
        <v>1.8704740081059668</v>
      </c>
      <c r="P158">
        <f t="shared" si="33"/>
        <v>1.8704740081059668</v>
      </c>
      <c r="Q158">
        <f t="shared" si="34"/>
        <v>244.77056538606828</v>
      </c>
    </row>
    <row r="159" spans="1:17" x14ac:dyDescent="0.6">
      <c r="A159">
        <v>158</v>
      </c>
      <c r="B159" s="1" t="s">
        <v>29</v>
      </c>
      <c r="C159" t="s">
        <v>7</v>
      </c>
      <c r="D159">
        <v>150</v>
      </c>
      <c r="F159">
        <v>95</v>
      </c>
      <c r="G159">
        <v>63.65</v>
      </c>
      <c r="H159">
        <f t="shared" si="35"/>
        <v>790</v>
      </c>
      <c r="I159">
        <v>178</v>
      </c>
      <c r="J159">
        <f t="shared" si="28"/>
        <v>0.43643578047198472</v>
      </c>
      <c r="K159">
        <f t="shared" si="29"/>
        <v>1</v>
      </c>
      <c r="L159">
        <v>1</v>
      </c>
      <c r="M159">
        <f t="shared" si="26"/>
        <v>2.9558842014700106</v>
      </c>
      <c r="N159">
        <f t="shared" si="31"/>
        <v>25.92946521036351</v>
      </c>
      <c r="O159">
        <f t="shared" si="32"/>
        <v>3.0316761040718054</v>
      </c>
      <c r="P159">
        <f t="shared" si="33"/>
        <v>3.0316761040718054</v>
      </c>
      <c r="Q159">
        <f t="shared" si="34"/>
        <v>227.52729161058903</v>
      </c>
    </row>
    <row r="160" spans="1:17" x14ac:dyDescent="0.6">
      <c r="A160">
        <v>159</v>
      </c>
      <c r="B160" s="1" t="s">
        <v>29</v>
      </c>
      <c r="C160" t="s">
        <v>7</v>
      </c>
      <c r="D160">
        <v>150</v>
      </c>
      <c r="F160">
        <v>95</v>
      </c>
      <c r="G160">
        <v>66.5</v>
      </c>
      <c r="H160">
        <f t="shared" si="35"/>
        <v>790</v>
      </c>
      <c r="I160">
        <v>249</v>
      </c>
      <c r="J160">
        <f t="shared" si="28"/>
        <v>0.43643578047198472</v>
      </c>
      <c r="K160">
        <f t="shared" si="29"/>
        <v>1</v>
      </c>
      <c r="L160">
        <v>1</v>
      </c>
      <c r="M160">
        <f t="shared" si="26"/>
        <v>3.0213360662130921</v>
      </c>
      <c r="N160">
        <f t="shared" si="31"/>
        <v>26.503618909945224</v>
      </c>
      <c r="O160">
        <f t="shared" si="32"/>
        <v>3.0988062217570169</v>
      </c>
      <c r="P160">
        <f t="shared" si="33"/>
        <v>3.0988062217570169</v>
      </c>
      <c r="Q160">
        <f t="shared" si="34"/>
        <v>232.56540694286409</v>
      </c>
    </row>
    <row r="161" spans="1:17" x14ac:dyDescent="0.6">
      <c r="A161">
        <v>160</v>
      </c>
      <c r="B161" s="1" t="s">
        <v>29</v>
      </c>
      <c r="C161" t="s">
        <v>7</v>
      </c>
      <c r="D161">
        <v>150</v>
      </c>
      <c r="F161">
        <v>95</v>
      </c>
      <c r="G161">
        <v>65.55</v>
      </c>
      <c r="H161">
        <f t="shared" si="35"/>
        <v>790</v>
      </c>
      <c r="I161">
        <v>356</v>
      </c>
      <c r="J161">
        <f t="shared" si="28"/>
        <v>0.43643578047198472</v>
      </c>
      <c r="K161">
        <f t="shared" si="29"/>
        <v>1</v>
      </c>
      <c r="L161">
        <v>1</v>
      </c>
      <c r="M161">
        <f t="shared" si="26"/>
        <v>2.9996774639117461</v>
      </c>
      <c r="N161">
        <f t="shared" si="31"/>
        <v>26.313626360643539</v>
      </c>
      <c r="O161">
        <f t="shared" si="32"/>
        <v>3.0765922706787134</v>
      </c>
      <c r="P161">
        <f t="shared" si="33"/>
        <v>3.0765922706787134</v>
      </c>
      <c r="Q161">
        <f t="shared" si="34"/>
        <v>230.89824991443746</v>
      </c>
    </row>
    <row r="162" spans="1:17" x14ac:dyDescent="0.6">
      <c r="A162">
        <v>161</v>
      </c>
      <c r="B162" s="1" t="s">
        <v>29</v>
      </c>
      <c r="C162" t="s">
        <v>7</v>
      </c>
      <c r="D162">
        <v>150</v>
      </c>
      <c r="F162">
        <v>90</v>
      </c>
      <c r="G162">
        <v>62.7</v>
      </c>
      <c r="H162">
        <f t="shared" si="35"/>
        <v>780</v>
      </c>
      <c r="I162">
        <v>418</v>
      </c>
      <c r="J162">
        <f t="shared" si="28"/>
        <v>0.44721359549995793</v>
      </c>
      <c r="K162">
        <f t="shared" si="29"/>
        <v>1</v>
      </c>
      <c r="L162">
        <v>1</v>
      </c>
      <c r="M162">
        <f t="shared" si="26"/>
        <v>2.9337424350136811</v>
      </c>
      <c r="N162">
        <f t="shared" si="31"/>
        <v>24.732913618799547</v>
      </c>
      <c r="O162">
        <f t="shared" si="32"/>
        <v>3.0089666000140318</v>
      </c>
      <c r="P162">
        <f t="shared" si="33"/>
        <v>3.0089666000140318</v>
      </c>
      <c r="Q162">
        <f t="shared" si="34"/>
        <v>211.22945532098504</v>
      </c>
    </row>
    <row r="163" spans="1:17" x14ac:dyDescent="0.6">
      <c r="A163">
        <v>162</v>
      </c>
      <c r="B163" s="1" t="s">
        <v>29</v>
      </c>
      <c r="C163" t="s">
        <v>7</v>
      </c>
      <c r="D163">
        <v>150</v>
      </c>
      <c r="F163">
        <v>125</v>
      </c>
      <c r="G163">
        <v>64.599999999999994</v>
      </c>
      <c r="H163">
        <f t="shared" si="35"/>
        <v>850</v>
      </c>
      <c r="I163">
        <v>365</v>
      </c>
      <c r="J163">
        <f t="shared" si="28"/>
        <v>0.38490017945975052</v>
      </c>
      <c r="K163">
        <f t="shared" si="29"/>
        <v>1</v>
      </c>
      <c r="L163">
        <v>1</v>
      </c>
      <c r="M163">
        <f t="shared" si="26"/>
        <v>2.9778613382761798</v>
      </c>
      <c r="N163">
        <f t="shared" si="31"/>
        <v>31.723903606836949</v>
      </c>
      <c r="O163">
        <f t="shared" si="32"/>
        <v>3.0542167572063379</v>
      </c>
      <c r="P163">
        <f t="shared" si="33"/>
        <v>3.0542167572063379</v>
      </c>
      <c r="Q163">
        <f t="shared" si="34"/>
        <v>324.51053045317337</v>
      </c>
    </row>
    <row r="164" spans="1:17" x14ac:dyDescent="0.6">
      <c r="A164">
        <v>163</v>
      </c>
      <c r="B164" s="1" t="s">
        <v>29</v>
      </c>
      <c r="C164" t="s">
        <v>7</v>
      </c>
      <c r="D164">
        <v>150</v>
      </c>
      <c r="F164">
        <v>120</v>
      </c>
      <c r="G164">
        <v>66.5</v>
      </c>
      <c r="H164">
        <f t="shared" si="35"/>
        <v>840</v>
      </c>
      <c r="I164">
        <v>489</v>
      </c>
      <c r="J164">
        <f t="shared" si="28"/>
        <v>0.39223227027636809</v>
      </c>
      <c r="K164">
        <f t="shared" si="29"/>
        <v>1</v>
      </c>
      <c r="L164">
        <v>1</v>
      </c>
      <c r="M164">
        <f t="shared" si="26"/>
        <v>3.0213360662130921</v>
      </c>
      <c r="N164">
        <f t="shared" si="31"/>
        <v>31.296195392628345</v>
      </c>
      <c r="O164">
        <f t="shared" si="32"/>
        <v>3.0988062217570169</v>
      </c>
      <c r="P164">
        <f t="shared" si="33"/>
        <v>3.0988062217570169</v>
      </c>
      <c r="Q164">
        <f t="shared" si="34"/>
        <v>312.3596671531073</v>
      </c>
    </row>
    <row r="165" spans="1:17" x14ac:dyDescent="0.6">
      <c r="A165">
        <v>164</v>
      </c>
      <c r="B165" s="1" t="s">
        <v>29</v>
      </c>
      <c r="C165" t="s">
        <v>7</v>
      </c>
      <c r="D165">
        <v>150</v>
      </c>
      <c r="F165">
        <v>95</v>
      </c>
      <c r="G165">
        <v>70.3</v>
      </c>
      <c r="H165">
        <f t="shared" si="35"/>
        <v>790</v>
      </c>
      <c r="I165">
        <v>356</v>
      </c>
      <c r="J165">
        <f t="shared" si="28"/>
        <v>0.43643578047198472</v>
      </c>
      <c r="K165">
        <f t="shared" si="29"/>
        <v>1</v>
      </c>
      <c r="L165">
        <v>1</v>
      </c>
      <c r="M165">
        <f t="shared" si="26"/>
        <v>3.1064607795689296</v>
      </c>
      <c r="N165">
        <f t="shared" si="31"/>
        <v>27.250345825838838</v>
      </c>
      <c r="O165">
        <f t="shared" si="32"/>
        <v>3.1861136200706968</v>
      </c>
      <c r="P165">
        <f t="shared" si="33"/>
        <v>3.1861136200706968</v>
      </c>
      <c r="Q165">
        <f t="shared" si="34"/>
        <v>239.11782718630582</v>
      </c>
    </row>
    <row r="166" spans="1:17" x14ac:dyDescent="0.6">
      <c r="A166">
        <v>165</v>
      </c>
      <c r="B166" s="1" t="s">
        <v>29</v>
      </c>
      <c r="C166" t="s">
        <v>7</v>
      </c>
      <c r="D166">
        <v>150</v>
      </c>
      <c r="F166">
        <v>120</v>
      </c>
      <c r="G166">
        <v>65.55</v>
      </c>
      <c r="H166">
        <f t="shared" si="35"/>
        <v>840</v>
      </c>
      <c r="I166">
        <v>436</v>
      </c>
      <c r="J166">
        <f t="shared" si="28"/>
        <v>0.39223227027636809</v>
      </c>
      <c r="K166">
        <f t="shared" si="29"/>
        <v>1</v>
      </c>
      <c r="L166">
        <v>1</v>
      </c>
      <c r="M166">
        <f t="shared" si="26"/>
        <v>2.9996774639117461</v>
      </c>
      <c r="N166">
        <f t="shared" si="31"/>
        <v>31.071847013401619</v>
      </c>
      <c r="O166">
        <f t="shared" si="32"/>
        <v>3.0765922706787134</v>
      </c>
      <c r="P166">
        <f t="shared" si="33"/>
        <v>3.0765922706787134</v>
      </c>
      <c r="Q166">
        <f t="shared" si="34"/>
        <v>310.12050088441435</v>
      </c>
    </row>
    <row r="167" spans="1:17" x14ac:dyDescent="0.6">
      <c r="A167">
        <v>166</v>
      </c>
      <c r="B167" s="1" t="s">
        <v>29</v>
      </c>
      <c r="C167" t="s">
        <v>7</v>
      </c>
      <c r="D167">
        <v>150</v>
      </c>
      <c r="F167">
        <v>120</v>
      </c>
      <c r="G167">
        <v>70.3</v>
      </c>
      <c r="H167">
        <f t="shared" si="35"/>
        <v>840</v>
      </c>
      <c r="I167">
        <v>543</v>
      </c>
      <c r="J167">
        <f t="shared" si="28"/>
        <v>0.39223227027636809</v>
      </c>
      <c r="K167">
        <f t="shared" si="29"/>
        <v>1</v>
      </c>
      <c r="L167">
        <v>1</v>
      </c>
      <c r="M167">
        <f t="shared" si="26"/>
        <v>3.1064607795689296</v>
      </c>
      <c r="N167">
        <f t="shared" si="31"/>
        <v>32.177950882101221</v>
      </c>
      <c r="O167">
        <f t="shared" si="32"/>
        <v>3.1861136200706968</v>
      </c>
      <c r="P167">
        <f t="shared" si="33"/>
        <v>3.1861136200706968</v>
      </c>
      <c r="Q167">
        <f t="shared" si="34"/>
        <v>321.16025290312626</v>
      </c>
    </row>
    <row r="168" spans="1:17" x14ac:dyDescent="0.6">
      <c r="A168">
        <v>167</v>
      </c>
      <c r="B168" s="1" t="s">
        <v>29</v>
      </c>
      <c r="C168" t="s">
        <v>7</v>
      </c>
      <c r="D168">
        <v>150</v>
      </c>
      <c r="F168">
        <v>120</v>
      </c>
      <c r="G168">
        <v>76</v>
      </c>
      <c r="H168">
        <f t="shared" si="35"/>
        <v>840</v>
      </c>
      <c r="I168">
        <v>645</v>
      </c>
      <c r="J168">
        <f t="shared" si="28"/>
        <v>0.39223227027636809</v>
      </c>
      <c r="K168">
        <f t="shared" si="29"/>
        <v>1</v>
      </c>
      <c r="L168">
        <v>1</v>
      </c>
      <c r="M168">
        <f t="shared" si="26"/>
        <v>3.2299441171636398</v>
      </c>
      <c r="N168">
        <f t="shared" si="31"/>
        <v>33.457040191070988</v>
      </c>
      <c r="O168">
        <f t="shared" si="32"/>
        <v>3.3127631970909124</v>
      </c>
      <c r="P168">
        <f t="shared" si="33"/>
        <v>3.3127631970909124</v>
      </c>
      <c r="Q168">
        <f t="shared" si="34"/>
        <v>333.92653026676396</v>
      </c>
    </row>
    <row r="169" spans="1:17" x14ac:dyDescent="0.6">
      <c r="A169">
        <v>168</v>
      </c>
      <c r="B169" s="1" t="s">
        <v>29</v>
      </c>
      <c r="C169" t="s">
        <v>7</v>
      </c>
      <c r="D169">
        <v>150</v>
      </c>
      <c r="F169">
        <v>70</v>
      </c>
      <c r="G169">
        <v>66.5</v>
      </c>
      <c r="H169">
        <f t="shared" si="35"/>
        <v>740</v>
      </c>
      <c r="I169">
        <v>196</v>
      </c>
      <c r="J169">
        <f t="shared" si="28"/>
        <v>0.5</v>
      </c>
      <c r="K169">
        <f t="shared" si="29"/>
        <v>1</v>
      </c>
      <c r="L169">
        <v>1</v>
      </c>
      <c r="M169">
        <f t="shared" si="26"/>
        <v>3.0213360662130921</v>
      </c>
      <c r="N169">
        <f t="shared" si="31"/>
        <v>21.063396956629251</v>
      </c>
      <c r="O169">
        <f t="shared" si="32"/>
        <v>3.0988062217570169</v>
      </c>
      <c r="P169">
        <f t="shared" si="33"/>
        <v>3.0988062217570169</v>
      </c>
      <c r="Q169">
        <f t="shared" si="34"/>
        <v>160.5181622870135</v>
      </c>
    </row>
    <row r="170" spans="1:17" x14ac:dyDescent="0.6">
      <c r="A170">
        <v>169</v>
      </c>
      <c r="B170" s="1" t="s">
        <v>29</v>
      </c>
      <c r="C170" t="s">
        <v>7</v>
      </c>
      <c r="D170">
        <v>150</v>
      </c>
      <c r="F170">
        <v>70</v>
      </c>
      <c r="G170">
        <v>71.25</v>
      </c>
      <c r="H170">
        <f t="shared" si="35"/>
        <v>740</v>
      </c>
      <c r="I170">
        <v>258</v>
      </c>
      <c r="J170">
        <f t="shared" si="28"/>
        <v>0.5</v>
      </c>
      <c r="K170">
        <f t="shared" si="29"/>
        <v>1</v>
      </c>
      <c r="L170">
        <v>1</v>
      </c>
      <c r="M170">
        <f t="shared" si="26"/>
        <v>3.1273799437388488</v>
      </c>
      <c r="N170">
        <f t="shared" si="31"/>
        <v>21.80268720378961</v>
      </c>
      <c r="O170">
        <f t="shared" si="32"/>
        <v>3.2075691730654854</v>
      </c>
      <c r="P170">
        <f t="shared" si="33"/>
        <v>3.2075691730654854</v>
      </c>
      <c r="Q170">
        <f t="shared" si="34"/>
        <v>166.15208316479212</v>
      </c>
    </row>
    <row r="171" spans="1:17" x14ac:dyDescent="0.6">
      <c r="A171">
        <v>170</v>
      </c>
      <c r="B171" s="1" t="s">
        <v>29</v>
      </c>
      <c r="C171" t="s">
        <v>7</v>
      </c>
      <c r="D171">
        <v>150</v>
      </c>
      <c r="F171">
        <v>70</v>
      </c>
      <c r="G171">
        <v>64.599999999999994</v>
      </c>
      <c r="H171">
        <f t="shared" si="35"/>
        <v>740</v>
      </c>
      <c r="I171">
        <v>267</v>
      </c>
      <c r="J171">
        <f t="shared" si="28"/>
        <v>0.5</v>
      </c>
      <c r="K171">
        <f t="shared" si="29"/>
        <v>1</v>
      </c>
      <c r="L171">
        <v>1</v>
      </c>
      <c r="M171">
        <f t="shared" si="26"/>
        <v>2.9778613382761798</v>
      </c>
      <c r="N171">
        <f t="shared" si="31"/>
        <v>20.760310695436068</v>
      </c>
      <c r="O171">
        <f t="shared" si="32"/>
        <v>3.0542167572063379</v>
      </c>
      <c r="P171">
        <f t="shared" si="33"/>
        <v>3.0542167572063379</v>
      </c>
      <c r="Q171">
        <f t="shared" si="34"/>
        <v>158.20842802328832</v>
      </c>
    </row>
    <row r="172" spans="1:17" x14ac:dyDescent="0.6">
      <c r="A172">
        <v>171</v>
      </c>
      <c r="B172" s="1" t="s">
        <v>29</v>
      </c>
      <c r="C172" t="s">
        <v>7</v>
      </c>
      <c r="D172">
        <v>220</v>
      </c>
      <c r="F172">
        <v>95</v>
      </c>
      <c r="G172">
        <v>68.400000000000006</v>
      </c>
      <c r="H172">
        <f t="shared" si="35"/>
        <v>1070</v>
      </c>
      <c r="I172">
        <v>498</v>
      </c>
      <c r="J172">
        <f t="shared" si="28"/>
        <v>0.43643578047198472</v>
      </c>
      <c r="K172">
        <f t="shared" si="29"/>
        <v>1</v>
      </c>
      <c r="L172">
        <v>1</v>
      </c>
      <c r="M172">
        <f t="shared" si="26"/>
        <v>3.0641940375896572</v>
      </c>
      <c r="N172">
        <f t="shared" si="31"/>
        <v>20.112949648602513</v>
      </c>
      <c r="O172">
        <f t="shared" si="32"/>
        <v>3.1427631154765709</v>
      </c>
      <c r="P172">
        <f t="shared" si="33"/>
        <v>3.1427631154765709</v>
      </c>
      <c r="Q172">
        <f t="shared" si="34"/>
        <v>319.46187068819347</v>
      </c>
    </row>
    <row r="173" spans="1:17" x14ac:dyDescent="0.6">
      <c r="A173">
        <v>172</v>
      </c>
      <c r="B173" s="1" t="s">
        <v>29</v>
      </c>
      <c r="C173" t="s">
        <v>7</v>
      </c>
      <c r="D173">
        <v>300</v>
      </c>
      <c r="F173">
        <v>95</v>
      </c>
      <c r="G173">
        <v>67.45</v>
      </c>
      <c r="H173">
        <f t="shared" si="35"/>
        <v>1390</v>
      </c>
      <c r="I173">
        <v>560</v>
      </c>
      <c r="J173">
        <f t="shared" si="28"/>
        <v>0.43643578047198472</v>
      </c>
      <c r="K173">
        <f t="shared" si="29"/>
        <v>1</v>
      </c>
      <c r="L173">
        <v>1</v>
      </c>
      <c r="M173">
        <f t="shared" si="26"/>
        <v>3.0428405088831063</v>
      </c>
      <c r="N173">
        <f t="shared" si="31"/>
        <v>15.608239444846435</v>
      </c>
      <c r="O173">
        <f t="shared" si="32"/>
        <v>3.1208620603929291</v>
      </c>
      <c r="P173">
        <f t="shared" si="33"/>
        <v>3.1208620603929291</v>
      </c>
      <c r="Q173">
        <f t="shared" si="34"/>
        <v>412.10983507488629</v>
      </c>
    </row>
    <row r="174" spans="1:17" x14ac:dyDescent="0.6">
      <c r="A174">
        <v>173</v>
      </c>
      <c r="B174" s="1" t="s">
        <v>29</v>
      </c>
      <c r="C174" t="s">
        <v>7</v>
      </c>
      <c r="D174">
        <v>150</v>
      </c>
      <c r="F174">
        <v>95</v>
      </c>
      <c r="G174">
        <v>39.9</v>
      </c>
      <c r="H174">
        <f t="shared" si="35"/>
        <v>790</v>
      </c>
      <c r="I174">
        <v>320</v>
      </c>
      <c r="J174">
        <f t="shared" si="28"/>
        <v>0.43643578047198472</v>
      </c>
      <c r="K174">
        <f t="shared" si="29"/>
        <v>1</v>
      </c>
      <c r="L174">
        <v>1</v>
      </c>
      <c r="M174">
        <f t="shared" si="26"/>
        <v>2.3403168535478267</v>
      </c>
      <c r="N174">
        <f t="shared" si="31"/>
        <v>20.529614930489164</v>
      </c>
      <c r="O174">
        <f t="shared" si="32"/>
        <v>2.4003249779977711</v>
      </c>
      <c r="P174">
        <f t="shared" si="33"/>
        <v>2.4003249779977711</v>
      </c>
      <c r="Q174">
        <f t="shared" si="34"/>
        <v>180.14438959873272</v>
      </c>
    </row>
    <row r="175" spans="1:17" x14ac:dyDescent="0.6">
      <c r="A175">
        <v>174</v>
      </c>
      <c r="B175" s="1" t="s">
        <v>29</v>
      </c>
      <c r="C175" t="s">
        <v>7</v>
      </c>
      <c r="D175">
        <v>150</v>
      </c>
      <c r="F175">
        <v>120</v>
      </c>
      <c r="G175">
        <v>28.5</v>
      </c>
      <c r="H175">
        <f t="shared" si="35"/>
        <v>840</v>
      </c>
      <c r="I175">
        <v>396</v>
      </c>
      <c r="J175">
        <f t="shared" si="28"/>
        <v>0.39223227027636809</v>
      </c>
      <c r="K175">
        <f t="shared" si="29"/>
        <v>0.85</v>
      </c>
      <c r="L175">
        <v>1</v>
      </c>
      <c r="M175">
        <f t="shared" si="26"/>
        <v>1.6812394342604804</v>
      </c>
      <c r="N175">
        <f t="shared" si="31"/>
        <v>17.414943814031496</v>
      </c>
      <c r="O175">
        <f t="shared" si="32"/>
        <v>1.7243481377030567</v>
      </c>
      <c r="P175">
        <f t="shared" si="33"/>
        <v>1.7243481377030567</v>
      </c>
      <c r="Q175">
        <f t="shared" si="34"/>
        <v>173.81429228046812</v>
      </c>
    </row>
    <row r="176" spans="1:17" x14ac:dyDescent="0.6">
      <c r="A176">
        <v>175</v>
      </c>
      <c r="B176" s="2" t="s">
        <v>68</v>
      </c>
      <c r="C176" t="s">
        <v>10</v>
      </c>
      <c r="D176">
        <v>102</v>
      </c>
      <c r="F176">
        <v>38.1</v>
      </c>
      <c r="G176">
        <v>13.145888429999999</v>
      </c>
      <c r="H176">
        <f t="shared" ref="H176:H210" si="36">PI()*(D176+F176)</f>
        <v>440.13713076792999</v>
      </c>
      <c r="I176">
        <v>78</v>
      </c>
      <c r="J176">
        <f t="shared" si="28"/>
        <v>0.64482588021916099</v>
      </c>
      <c r="K176">
        <f t="shared" si="29"/>
        <v>0.75</v>
      </c>
      <c r="L176">
        <v>1</v>
      </c>
      <c r="M176">
        <f t="shared" si="26"/>
        <v>1.0074985893701003</v>
      </c>
      <c r="N176">
        <f t="shared" si="31"/>
        <v>6.4560460471973355</v>
      </c>
      <c r="O176">
        <f t="shared" si="32"/>
        <v>1.0333318865334362</v>
      </c>
      <c r="P176">
        <f t="shared" si="33"/>
        <v>1.0333318865334362</v>
      </c>
      <c r="Q176">
        <f t="shared" si="34"/>
        <v>17.32817457662086</v>
      </c>
    </row>
    <row r="177" spans="1:17" x14ac:dyDescent="0.6">
      <c r="A177">
        <v>176</v>
      </c>
      <c r="B177" s="2" t="s">
        <v>68</v>
      </c>
      <c r="C177" t="s">
        <v>10</v>
      </c>
      <c r="D177">
        <v>102</v>
      </c>
      <c r="F177">
        <v>38.1</v>
      </c>
      <c r="G177">
        <v>13.145888429999999</v>
      </c>
      <c r="H177">
        <f t="shared" si="36"/>
        <v>440.13713076792999</v>
      </c>
      <c r="I177">
        <v>36</v>
      </c>
      <c r="J177">
        <f t="shared" si="28"/>
        <v>0.64482588021916099</v>
      </c>
      <c r="K177">
        <f t="shared" si="29"/>
        <v>0.75</v>
      </c>
      <c r="L177">
        <v>1</v>
      </c>
      <c r="M177">
        <f t="shared" si="26"/>
        <v>1.0074985893701003</v>
      </c>
      <c r="N177">
        <f t="shared" si="31"/>
        <v>6.4560460471973355</v>
      </c>
      <c r="O177">
        <f t="shared" si="32"/>
        <v>1.0333318865334362</v>
      </c>
      <c r="P177">
        <f t="shared" si="33"/>
        <v>1.0333318865334362</v>
      </c>
      <c r="Q177">
        <f t="shared" si="34"/>
        <v>17.32817457662086</v>
      </c>
    </row>
    <row r="178" spans="1:17" x14ac:dyDescent="0.6">
      <c r="A178">
        <v>177</v>
      </c>
      <c r="B178" s="2" t="s">
        <v>68</v>
      </c>
      <c r="C178" t="s">
        <v>10</v>
      </c>
      <c r="D178">
        <v>51</v>
      </c>
      <c r="F178">
        <v>38.1</v>
      </c>
      <c r="G178">
        <v>13.145888429999999</v>
      </c>
      <c r="H178">
        <f t="shared" si="36"/>
        <v>279.91590543485057</v>
      </c>
      <c r="I178">
        <v>24</v>
      </c>
      <c r="J178">
        <f t="shared" si="28"/>
        <v>0.64482588021916099</v>
      </c>
      <c r="K178">
        <f t="shared" si="29"/>
        <v>0.75</v>
      </c>
      <c r="L178">
        <v>1</v>
      </c>
      <c r="M178">
        <f t="shared" si="26"/>
        <v>1.0074985893701003</v>
      </c>
      <c r="N178">
        <f t="shared" si="31"/>
        <v>9.9591983747817601</v>
      </c>
      <c r="O178">
        <f t="shared" si="32"/>
        <v>1.0333318865334362</v>
      </c>
      <c r="P178">
        <f t="shared" si="33"/>
        <v>1.0333318865334362</v>
      </c>
      <c r="Q178">
        <f t="shared" si="34"/>
        <v>11.020273767144317</v>
      </c>
    </row>
    <row r="179" spans="1:17" x14ac:dyDescent="0.6">
      <c r="A179">
        <v>178</v>
      </c>
      <c r="B179" s="2" t="s">
        <v>68</v>
      </c>
      <c r="C179" t="s">
        <v>10</v>
      </c>
      <c r="D179">
        <v>51</v>
      </c>
      <c r="F179">
        <v>38.1</v>
      </c>
      <c r="G179">
        <v>13.145888429999999</v>
      </c>
      <c r="H179">
        <f t="shared" si="36"/>
        <v>279.91590543485057</v>
      </c>
      <c r="I179">
        <v>35</v>
      </c>
      <c r="J179">
        <f t="shared" si="28"/>
        <v>0.64482588021916099</v>
      </c>
      <c r="K179">
        <f t="shared" si="29"/>
        <v>0.75</v>
      </c>
      <c r="L179">
        <v>1</v>
      </c>
      <c r="M179">
        <f t="shared" si="26"/>
        <v>1.0074985893701003</v>
      </c>
      <c r="N179">
        <f t="shared" si="31"/>
        <v>9.9591983747817601</v>
      </c>
      <c r="O179">
        <f t="shared" si="32"/>
        <v>1.0333318865334362</v>
      </c>
      <c r="P179">
        <f t="shared" si="33"/>
        <v>1.0333318865334362</v>
      </c>
      <c r="Q179">
        <f t="shared" si="34"/>
        <v>11.020273767144317</v>
      </c>
    </row>
    <row r="180" spans="1:17" x14ac:dyDescent="0.6">
      <c r="A180">
        <v>179</v>
      </c>
      <c r="B180" s="2" t="s">
        <v>68</v>
      </c>
      <c r="C180" t="s">
        <v>10</v>
      </c>
      <c r="D180">
        <v>102</v>
      </c>
      <c r="F180">
        <v>38.1</v>
      </c>
      <c r="G180">
        <v>13.145888429999999</v>
      </c>
      <c r="H180">
        <f t="shared" si="36"/>
        <v>440.13713076792999</v>
      </c>
      <c r="I180">
        <v>33</v>
      </c>
      <c r="J180">
        <f t="shared" si="28"/>
        <v>0.64482588021916099</v>
      </c>
      <c r="K180">
        <f t="shared" si="29"/>
        <v>0.75</v>
      </c>
      <c r="L180">
        <v>1</v>
      </c>
      <c r="M180">
        <f t="shared" si="26"/>
        <v>1.0074985893701003</v>
      </c>
      <c r="N180">
        <f t="shared" si="31"/>
        <v>6.4560460471973355</v>
      </c>
      <c r="O180">
        <f t="shared" si="32"/>
        <v>1.0333318865334362</v>
      </c>
      <c r="P180">
        <f t="shared" si="33"/>
        <v>1.0333318865334362</v>
      </c>
      <c r="Q180">
        <f t="shared" si="34"/>
        <v>17.32817457662086</v>
      </c>
    </row>
    <row r="181" spans="1:17" x14ac:dyDescent="0.6">
      <c r="A181">
        <v>180</v>
      </c>
      <c r="B181" s="2" t="s">
        <v>68</v>
      </c>
      <c r="C181" t="s">
        <v>10</v>
      </c>
      <c r="D181">
        <v>152</v>
      </c>
      <c r="F181">
        <v>38.1</v>
      </c>
      <c r="G181">
        <v>13.145888429999999</v>
      </c>
      <c r="H181">
        <f t="shared" si="36"/>
        <v>597.21676344741968</v>
      </c>
      <c r="I181">
        <v>49</v>
      </c>
      <c r="J181">
        <f t="shared" si="28"/>
        <v>0.64482588021916099</v>
      </c>
      <c r="K181">
        <f t="shared" si="29"/>
        <v>0.75</v>
      </c>
      <c r="L181">
        <v>1</v>
      </c>
      <c r="M181">
        <f t="shared" si="26"/>
        <v>1.0074985893701003</v>
      </c>
      <c r="N181">
        <f t="shared" si="31"/>
        <v>4.8463108593819824</v>
      </c>
      <c r="O181">
        <f t="shared" si="32"/>
        <v>1.0333318865334362</v>
      </c>
      <c r="P181">
        <f t="shared" si="33"/>
        <v>1.0333318865334362</v>
      </c>
      <c r="Q181">
        <f t="shared" si="34"/>
        <v>23.512391056499823</v>
      </c>
    </row>
    <row r="182" spans="1:17" x14ac:dyDescent="0.6">
      <c r="A182">
        <v>181</v>
      </c>
      <c r="B182" s="2" t="s">
        <v>68</v>
      </c>
      <c r="C182" t="s">
        <v>10</v>
      </c>
      <c r="D182">
        <v>102</v>
      </c>
      <c r="F182">
        <v>38.1</v>
      </c>
      <c r="G182">
        <v>13.145888429999999</v>
      </c>
      <c r="H182">
        <f t="shared" si="36"/>
        <v>440.13713076792999</v>
      </c>
      <c r="I182">
        <v>34</v>
      </c>
      <c r="J182">
        <f t="shared" si="28"/>
        <v>0.64482588021916099</v>
      </c>
      <c r="K182">
        <f t="shared" si="29"/>
        <v>0.75</v>
      </c>
      <c r="L182">
        <v>1</v>
      </c>
      <c r="M182">
        <f t="shared" si="26"/>
        <v>1.0074985893701003</v>
      </c>
      <c r="N182">
        <f t="shared" si="31"/>
        <v>6.4560460471973355</v>
      </c>
      <c r="O182">
        <f t="shared" si="32"/>
        <v>1.0333318865334362</v>
      </c>
      <c r="P182">
        <f t="shared" si="33"/>
        <v>1.0333318865334362</v>
      </c>
      <c r="Q182">
        <f t="shared" si="34"/>
        <v>17.32817457662086</v>
      </c>
    </row>
    <row r="183" spans="1:17" x14ac:dyDescent="0.6">
      <c r="A183">
        <v>182</v>
      </c>
      <c r="B183" s="2" t="s">
        <v>68</v>
      </c>
      <c r="C183" t="s">
        <v>10</v>
      </c>
      <c r="D183">
        <v>102</v>
      </c>
      <c r="F183">
        <v>76.2</v>
      </c>
      <c r="G183">
        <v>22.931617039999999</v>
      </c>
      <c r="H183">
        <f t="shared" si="36"/>
        <v>559.83181086970114</v>
      </c>
      <c r="I183">
        <v>129</v>
      </c>
      <c r="J183">
        <f t="shared" si="28"/>
        <v>0.48168305085908802</v>
      </c>
      <c r="K183">
        <f t="shared" si="29"/>
        <v>0.75</v>
      </c>
      <c r="L183">
        <v>1</v>
      </c>
      <c r="M183">
        <f t="shared" si="26"/>
        <v>1.3306591232323914</v>
      </c>
      <c r="N183">
        <f t="shared" si="31"/>
        <v>13.153664250557457</v>
      </c>
      <c r="O183">
        <f t="shared" si="32"/>
        <v>1.3647785879306578</v>
      </c>
      <c r="P183">
        <f t="shared" si="33"/>
        <v>1.3647785879306578</v>
      </c>
      <c r="Q183">
        <f t="shared" si="34"/>
        <v>58.220340885786932</v>
      </c>
    </row>
    <row r="184" spans="1:17" x14ac:dyDescent="0.6">
      <c r="A184">
        <v>183</v>
      </c>
      <c r="B184" s="2" t="s">
        <v>68</v>
      </c>
      <c r="C184" t="s">
        <v>10</v>
      </c>
      <c r="D184">
        <v>102</v>
      </c>
      <c r="F184">
        <v>76.2</v>
      </c>
      <c r="G184">
        <v>21.484062810000001</v>
      </c>
      <c r="H184">
        <f t="shared" si="36"/>
        <v>559.83181086970114</v>
      </c>
      <c r="I184">
        <v>136</v>
      </c>
      <c r="J184">
        <f t="shared" si="28"/>
        <v>0.48168305085908802</v>
      </c>
      <c r="K184">
        <f t="shared" si="29"/>
        <v>0.75</v>
      </c>
      <c r="L184">
        <v>1</v>
      </c>
      <c r="M184">
        <f t="shared" si="26"/>
        <v>1.28797573871996</v>
      </c>
      <c r="N184">
        <f t="shared" si="31"/>
        <v>12.731735824898653</v>
      </c>
      <c r="O184">
        <f t="shared" si="32"/>
        <v>1.3210007576614975</v>
      </c>
      <c r="P184">
        <f t="shared" si="33"/>
        <v>1.3210007576614975</v>
      </c>
      <c r="Q184">
        <f t="shared" si="34"/>
        <v>56.352814369727525</v>
      </c>
    </row>
    <row r="185" spans="1:17" x14ac:dyDescent="0.6">
      <c r="A185">
        <v>184</v>
      </c>
      <c r="B185" s="2" t="s">
        <v>68</v>
      </c>
      <c r="C185" t="s">
        <v>10</v>
      </c>
      <c r="D185">
        <v>102</v>
      </c>
      <c r="F185">
        <v>76.2</v>
      </c>
      <c r="G185">
        <v>23.416318459999999</v>
      </c>
      <c r="H185">
        <f t="shared" si="36"/>
        <v>559.83181086970114</v>
      </c>
      <c r="I185">
        <v>129</v>
      </c>
      <c r="J185">
        <f t="shared" si="28"/>
        <v>0.48168305085908802</v>
      </c>
      <c r="K185">
        <f t="shared" si="29"/>
        <v>0.75</v>
      </c>
      <c r="L185">
        <v>1</v>
      </c>
      <c r="M185">
        <f t="shared" si="26"/>
        <v>1.3446485368339367</v>
      </c>
      <c r="N185">
        <f t="shared" si="31"/>
        <v>13.291950642890537</v>
      </c>
      <c r="O185">
        <f t="shared" si="32"/>
        <v>1.3791267044450632</v>
      </c>
      <c r="P185">
        <f t="shared" si="33"/>
        <v>1.3791267044450632</v>
      </c>
      <c r="Q185">
        <f t="shared" si="34"/>
        <v>58.832419828060111</v>
      </c>
    </row>
    <row r="186" spans="1:17" x14ac:dyDescent="0.6">
      <c r="A186">
        <v>185</v>
      </c>
      <c r="B186" s="2" t="s">
        <v>68</v>
      </c>
      <c r="C186" t="s">
        <v>10</v>
      </c>
      <c r="D186">
        <v>152</v>
      </c>
      <c r="F186">
        <v>113.2979</v>
      </c>
      <c r="G186">
        <v>21.484062810000001</v>
      </c>
      <c r="H186">
        <f t="shared" si="36"/>
        <v>833.45793365279962</v>
      </c>
      <c r="I186">
        <v>311</v>
      </c>
      <c r="J186">
        <f t="shared" si="28"/>
        <v>0.40275149199195276</v>
      </c>
      <c r="K186">
        <f t="shared" si="29"/>
        <v>0.75</v>
      </c>
      <c r="L186">
        <v>1</v>
      </c>
      <c r="M186">
        <f t="shared" si="26"/>
        <v>1.28797573871996</v>
      </c>
      <c r="N186">
        <f t="shared" si="31"/>
        <v>12.715904695153357</v>
      </c>
      <c r="O186">
        <f t="shared" si="32"/>
        <v>1.3210007576614975</v>
      </c>
      <c r="P186">
        <f t="shared" si="33"/>
        <v>1.3210007576614975</v>
      </c>
      <c r="Q186">
        <f t="shared" si="34"/>
        <v>124.74082495885024</v>
      </c>
    </row>
    <row r="187" spans="1:17" x14ac:dyDescent="0.6">
      <c r="A187">
        <v>186</v>
      </c>
      <c r="B187" s="2" t="s">
        <v>68</v>
      </c>
      <c r="C187" t="s">
        <v>10</v>
      </c>
      <c r="D187">
        <v>203</v>
      </c>
      <c r="F187">
        <v>113.2979</v>
      </c>
      <c r="G187">
        <v>23.58006894</v>
      </c>
      <c r="H187">
        <f t="shared" si="36"/>
        <v>993.6791589858791</v>
      </c>
      <c r="I187">
        <v>357</v>
      </c>
      <c r="J187">
        <f t="shared" si="28"/>
        <v>0.40275149199195276</v>
      </c>
      <c r="K187">
        <f t="shared" si="29"/>
        <v>0.75</v>
      </c>
      <c r="L187">
        <v>1</v>
      </c>
      <c r="M187">
        <f t="shared" si="26"/>
        <v>1.3493419142701406</v>
      </c>
      <c r="N187">
        <f t="shared" si="31"/>
        <v>11.246276573727194</v>
      </c>
      <c r="O187">
        <f t="shared" si="32"/>
        <v>1.3839404248924518</v>
      </c>
      <c r="P187">
        <f t="shared" si="33"/>
        <v>1.3839404248924518</v>
      </c>
      <c r="Q187">
        <f t="shared" si="34"/>
        <v>155.80645151924452</v>
      </c>
    </row>
    <row r="188" spans="1:17" x14ac:dyDescent="0.6">
      <c r="A188">
        <v>187</v>
      </c>
      <c r="B188" s="2" t="s">
        <v>68</v>
      </c>
      <c r="C188" t="s">
        <v>10</v>
      </c>
      <c r="D188">
        <v>203</v>
      </c>
      <c r="F188">
        <v>121.55821</v>
      </c>
      <c r="G188">
        <v>23.58006894</v>
      </c>
      <c r="H188">
        <f t="shared" si="36"/>
        <v>1019.6296881982535</v>
      </c>
      <c r="I188">
        <v>271</v>
      </c>
      <c r="J188">
        <f t="shared" si="28"/>
        <v>0.38990250009986638</v>
      </c>
      <c r="K188">
        <f t="shared" si="29"/>
        <v>0.75</v>
      </c>
      <c r="L188">
        <v>1</v>
      </c>
      <c r="M188">
        <f t="shared" si="26"/>
        <v>1.3493419142701406</v>
      </c>
      <c r="N188">
        <f t="shared" si="31"/>
        <v>11.73861161822385</v>
      </c>
      <c r="O188">
        <f t="shared" si="32"/>
        <v>1.3839404248924518</v>
      </c>
      <c r="P188">
        <f t="shared" si="33"/>
        <v>1.3839404248924518</v>
      </c>
      <c r="Q188">
        <f t="shared" si="34"/>
        <v>171.53160990960643</v>
      </c>
    </row>
    <row r="189" spans="1:17" x14ac:dyDescent="0.6">
      <c r="A189">
        <v>188</v>
      </c>
      <c r="B189" s="2" t="s">
        <v>68</v>
      </c>
      <c r="C189" t="s">
        <v>10</v>
      </c>
      <c r="D189">
        <v>152</v>
      </c>
      <c r="F189">
        <v>72.530900000000003</v>
      </c>
      <c r="G189">
        <v>23.75036944</v>
      </c>
      <c r="H189">
        <f t="shared" si="36"/>
        <v>705.38462594390444</v>
      </c>
      <c r="I189">
        <v>202</v>
      </c>
      <c r="J189">
        <f t="shared" si="28"/>
        <v>0.49227378309407505</v>
      </c>
      <c r="K189">
        <f t="shared" si="29"/>
        <v>0.75</v>
      </c>
      <c r="L189">
        <v>1</v>
      </c>
      <c r="M189">
        <f t="shared" si="26"/>
        <v>1.3542057717438671</v>
      </c>
      <c r="N189">
        <f t="shared" si="31"/>
        <v>10.223028740672119</v>
      </c>
      <c r="O189">
        <f t="shared" si="32"/>
        <v>1.3889289966603766</v>
      </c>
      <c r="P189">
        <f t="shared" si="33"/>
        <v>1.3889289966603766</v>
      </c>
      <c r="Q189">
        <f t="shared" si="34"/>
        <v>71.060637787032221</v>
      </c>
    </row>
    <row r="190" spans="1:17" x14ac:dyDescent="0.6">
      <c r="A190">
        <v>189</v>
      </c>
      <c r="B190" s="2" t="s">
        <v>68</v>
      </c>
      <c r="C190" t="s">
        <v>10</v>
      </c>
      <c r="D190">
        <v>152</v>
      </c>
      <c r="F190">
        <v>80.791210000000007</v>
      </c>
      <c r="G190">
        <v>23.75036944</v>
      </c>
      <c r="H190">
        <f t="shared" si="36"/>
        <v>731.3351551562788</v>
      </c>
      <c r="I190">
        <v>160</v>
      </c>
      <c r="J190">
        <f t="shared" si="28"/>
        <v>0.46934597280617046</v>
      </c>
      <c r="K190">
        <f t="shared" si="29"/>
        <v>0.75</v>
      </c>
      <c r="L190">
        <v>1</v>
      </c>
      <c r="M190">
        <f t="shared" si="26"/>
        <v>1.3542057717438671</v>
      </c>
      <c r="N190">
        <f t="shared" si="31"/>
        <v>10.949665162699887</v>
      </c>
      <c r="O190">
        <f t="shared" si="32"/>
        <v>1.3889289966603766</v>
      </c>
      <c r="P190">
        <f t="shared" si="33"/>
        <v>1.3889289966603766</v>
      </c>
      <c r="Q190">
        <f t="shared" si="34"/>
        <v>82.065497703329868</v>
      </c>
    </row>
    <row r="191" spans="1:17" x14ac:dyDescent="0.6">
      <c r="A191">
        <v>190</v>
      </c>
      <c r="B191" s="2" t="s">
        <v>68</v>
      </c>
      <c r="C191" t="s">
        <v>10</v>
      </c>
      <c r="D191">
        <v>152</v>
      </c>
      <c r="F191">
        <v>85.724999999999994</v>
      </c>
      <c r="G191">
        <v>22.008064340000001</v>
      </c>
      <c r="H191">
        <f t="shared" si="36"/>
        <v>746.83511357463351</v>
      </c>
      <c r="I191">
        <v>107</v>
      </c>
      <c r="J191">
        <f t="shared" si="28"/>
        <v>0.45709062119946059</v>
      </c>
      <c r="K191">
        <f t="shared" si="29"/>
        <v>0.75</v>
      </c>
      <c r="L191">
        <v>1</v>
      </c>
      <c r="M191">
        <f t="shared" si="26"/>
        <v>1.303588135822406</v>
      </c>
      <c r="N191">
        <f t="shared" si="31"/>
        <v>10.934988774477006</v>
      </c>
      <c r="O191">
        <f t="shared" si="32"/>
        <v>1.3370134726383651</v>
      </c>
      <c r="P191">
        <f t="shared" si="33"/>
        <v>1.3370134726383651</v>
      </c>
      <c r="Q191">
        <f t="shared" si="34"/>
        <v>85.598864979837813</v>
      </c>
    </row>
    <row r="192" spans="1:17" x14ac:dyDescent="0.6">
      <c r="A192">
        <v>191</v>
      </c>
      <c r="B192" s="2" t="s">
        <v>68</v>
      </c>
      <c r="C192" t="s">
        <v>10</v>
      </c>
      <c r="D192">
        <v>102</v>
      </c>
      <c r="F192">
        <v>80.791210000000007</v>
      </c>
      <c r="G192">
        <v>24.23507086</v>
      </c>
      <c r="H192">
        <f t="shared" si="36"/>
        <v>574.25552247678911</v>
      </c>
      <c r="I192">
        <v>121</v>
      </c>
      <c r="J192">
        <f t="shared" si="28"/>
        <v>0.46934597280617046</v>
      </c>
      <c r="K192">
        <f t="shared" si="29"/>
        <v>0.85</v>
      </c>
      <c r="L192">
        <v>1</v>
      </c>
      <c r="M192">
        <f t="shared" si="26"/>
        <v>1.5503483270889928</v>
      </c>
      <c r="N192">
        <f t="shared" si="31"/>
        <v>15.823193147672283</v>
      </c>
      <c r="O192">
        <f t="shared" si="32"/>
        <v>1.590100848296403</v>
      </c>
      <c r="P192">
        <f t="shared" si="33"/>
        <v>1.590100848296403</v>
      </c>
      <c r="Q192">
        <f t="shared" si="34"/>
        <v>73.772408467422068</v>
      </c>
    </row>
    <row r="193" spans="1:17" x14ac:dyDescent="0.6">
      <c r="A193">
        <v>192</v>
      </c>
      <c r="B193" s="2" t="s">
        <v>68</v>
      </c>
      <c r="C193" t="s">
        <v>10</v>
      </c>
      <c r="D193">
        <v>203</v>
      </c>
      <c r="F193">
        <v>33.16621</v>
      </c>
      <c r="G193">
        <v>20.960061280000001</v>
      </c>
      <c r="H193">
        <f t="shared" si="36"/>
        <v>741.93803036214433</v>
      </c>
      <c r="I193">
        <v>89</v>
      </c>
      <c r="J193">
        <f t="shared" si="28"/>
        <v>0.68068007529915686</v>
      </c>
      <c r="K193">
        <f t="shared" si="29"/>
        <v>0.75</v>
      </c>
      <c r="L193">
        <v>1</v>
      </c>
      <c r="M193">
        <f t="shared" si="26"/>
        <v>1.2721717569595381</v>
      </c>
      <c r="N193">
        <f t="shared" si="31"/>
        <v>4.414849306560221</v>
      </c>
      <c r="O193">
        <f t="shared" si="32"/>
        <v>1.3047915455995263</v>
      </c>
      <c r="P193">
        <f t="shared" si="33"/>
        <v>1.3047915455995263</v>
      </c>
      <c r="Q193">
        <f t="shared" si="34"/>
        <v>32.107361146939454</v>
      </c>
    </row>
    <row r="194" spans="1:17" x14ac:dyDescent="0.6">
      <c r="A194">
        <v>193</v>
      </c>
      <c r="B194" s="2" t="s">
        <v>68</v>
      </c>
      <c r="C194" t="s">
        <v>10</v>
      </c>
      <c r="D194">
        <v>203</v>
      </c>
      <c r="F194">
        <v>123.31699999999999</v>
      </c>
      <c r="G194">
        <v>20.960061280000001</v>
      </c>
      <c r="H194">
        <f t="shared" si="36"/>
        <v>1025.1550899414606</v>
      </c>
      <c r="I194">
        <v>271</v>
      </c>
      <c r="J194">
        <f t="shared" si="28"/>
        <v>0.38732205882342058</v>
      </c>
      <c r="K194">
        <f t="shared" si="29"/>
        <v>0.75</v>
      </c>
      <c r="L194">
        <v>1</v>
      </c>
      <c r="M194">
        <f t="shared" ref="M194:M257" si="37">0.19*(1+2/L194)*K194*0.65*(G194)^0.5</f>
        <v>1.2721717569595381</v>
      </c>
      <c r="N194">
        <f t="shared" si="31"/>
        <v>11.163067675931906</v>
      </c>
      <c r="O194">
        <f t="shared" si="32"/>
        <v>1.3047915455995263</v>
      </c>
      <c r="P194">
        <f t="shared" si="33"/>
        <v>1.3047915455995263</v>
      </c>
      <c r="Q194">
        <f t="shared" si="34"/>
        <v>164.95050793801258</v>
      </c>
    </row>
    <row r="195" spans="1:17" x14ac:dyDescent="0.6">
      <c r="A195">
        <v>194</v>
      </c>
      <c r="B195" s="2" t="s">
        <v>68</v>
      </c>
      <c r="C195" t="s">
        <v>10</v>
      </c>
      <c r="D195">
        <v>203</v>
      </c>
      <c r="F195">
        <v>113.2979</v>
      </c>
      <c r="G195">
        <v>14.305241820000001</v>
      </c>
      <c r="H195">
        <f t="shared" si="36"/>
        <v>993.6791589858791</v>
      </c>
      <c r="I195">
        <v>278</v>
      </c>
      <c r="J195">
        <f t="shared" ref="J195:J258" si="38">(2/(1+F195/10))^0.5</f>
        <v>0.40275149199195276</v>
      </c>
      <c r="K195">
        <f t="shared" ref="K195:K258" si="39">IF(G195&lt;24, 0.75, IF(G195&lt;35, 0.85, 1))</f>
        <v>0.75</v>
      </c>
      <c r="L195">
        <v>1</v>
      </c>
      <c r="M195">
        <f t="shared" si="37"/>
        <v>1.0509863548256912</v>
      </c>
      <c r="N195">
        <f t="shared" ref="N195:N258" si="40">(40*F195/H195+0.19)*K195*0.65*(G195)^0.5</f>
        <v>8.7595909506571417</v>
      </c>
      <c r="O195">
        <f t="shared" ref="O195:O258" si="41">0.38*K195*(G195)^0.5</f>
        <v>1.0779347228981448</v>
      </c>
      <c r="P195">
        <f t="shared" ref="P195:P258" si="42">O195</f>
        <v>1.0779347228981448</v>
      </c>
      <c r="Q195">
        <f t="shared" ref="Q195:Q258" si="43">P195*H195*F195/1000</f>
        <v>121.35579041069755</v>
      </c>
    </row>
    <row r="196" spans="1:17" x14ac:dyDescent="0.6">
      <c r="A196">
        <v>195</v>
      </c>
      <c r="B196" s="2" t="s">
        <v>68</v>
      </c>
      <c r="C196" t="s">
        <v>10</v>
      </c>
      <c r="D196">
        <v>203</v>
      </c>
      <c r="F196">
        <v>121.55821</v>
      </c>
      <c r="G196">
        <v>15.287744699999999</v>
      </c>
      <c r="H196">
        <f t="shared" si="36"/>
        <v>1019.6296881982535</v>
      </c>
      <c r="I196">
        <v>230</v>
      </c>
      <c r="J196">
        <f t="shared" si="38"/>
        <v>0.38990250009986638</v>
      </c>
      <c r="K196">
        <f t="shared" si="39"/>
        <v>0.75</v>
      </c>
      <c r="L196">
        <v>1</v>
      </c>
      <c r="M196">
        <f t="shared" si="37"/>
        <v>1.0864786247364286</v>
      </c>
      <c r="N196">
        <f t="shared" si="40"/>
        <v>9.4518301643223008</v>
      </c>
      <c r="O196">
        <f t="shared" si="41"/>
        <v>1.1143370510117216</v>
      </c>
      <c r="P196">
        <f t="shared" si="42"/>
        <v>1.1143370510117216</v>
      </c>
      <c r="Q196">
        <f t="shared" si="43"/>
        <v>138.11579234475931</v>
      </c>
    </row>
    <row r="197" spans="1:17" x14ac:dyDescent="0.6">
      <c r="A197">
        <v>196</v>
      </c>
      <c r="B197" s="2" t="s">
        <v>68</v>
      </c>
      <c r="C197" t="s">
        <v>10</v>
      </c>
      <c r="D197">
        <v>152</v>
      </c>
      <c r="F197">
        <v>72.530900000000003</v>
      </c>
      <c r="G197">
        <v>12.51053658</v>
      </c>
      <c r="H197">
        <f t="shared" si="36"/>
        <v>705.38462594390444</v>
      </c>
      <c r="I197">
        <v>154</v>
      </c>
      <c r="J197">
        <f t="shared" si="38"/>
        <v>0.49227378309407505</v>
      </c>
      <c r="K197">
        <f t="shared" si="39"/>
        <v>0.75</v>
      </c>
      <c r="L197">
        <v>1</v>
      </c>
      <c r="M197">
        <f t="shared" si="37"/>
        <v>0.98285045771650559</v>
      </c>
      <c r="N197">
        <f t="shared" si="40"/>
        <v>7.419631998820778</v>
      </c>
      <c r="O197">
        <f t="shared" si="41"/>
        <v>1.0080517515041083</v>
      </c>
      <c r="P197">
        <f t="shared" si="42"/>
        <v>1.0080517515041083</v>
      </c>
      <c r="Q197">
        <f t="shared" si="43"/>
        <v>51.574126939861586</v>
      </c>
    </row>
    <row r="198" spans="1:17" x14ac:dyDescent="0.6">
      <c r="A198">
        <v>197</v>
      </c>
      <c r="B198" s="2" t="s">
        <v>68</v>
      </c>
      <c r="C198" t="s">
        <v>10</v>
      </c>
      <c r="D198">
        <v>152</v>
      </c>
      <c r="F198">
        <v>80.791210000000007</v>
      </c>
      <c r="G198">
        <v>13.78124029</v>
      </c>
      <c r="H198">
        <f t="shared" si="36"/>
        <v>731.3351551562788</v>
      </c>
      <c r="I198">
        <v>108</v>
      </c>
      <c r="J198">
        <f t="shared" si="38"/>
        <v>0.46934597280617046</v>
      </c>
      <c r="K198">
        <f t="shared" si="39"/>
        <v>0.75</v>
      </c>
      <c r="L198">
        <v>1</v>
      </c>
      <c r="M198">
        <f t="shared" si="37"/>
        <v>1.031557944908615</v>
      </c>
      <c r="N198">
        <f t="shared" si="40"/>
        <v>8.3408403127146862</v>
      </c>
      <c r="O198">
        <f t="shared" si="41"/>
        <v>1.0580081486242203</v>
      </c>
      <c r="P198">
        <f t="shared" si="42"/>
        <v>1.0580081486242203</v>
      </c>
      <c r="Q198">
        <f t="shared" si="43"/>
        <v>62.512889787595142</v>
      </c>
    </row>
    <row r="199" spans="1:17" x14ac:dyDescent="0.6">
      <c r="A199">
        <v>198</v>
      </c>
      <c r="B199" s="2" t="s">
        <v>68</v>
      </c>
      <c r="C199" t="s">
        <v>10</v>
      </c>
      <c r="D199">
        <v>152</v>
      </c>
      <c r="F199">
        <v>85.724999999999994</v>
      </c>
      <c r="G199">
        <v>13.355489049999999</v>
      </c>
      <c r="H199">
        <f t="shared" si="36"/>
        <v>746.83511357463351</v>
      </c>
      <c r="I199">
        <v>69</v>
      </c>
      <c r="J199">
        <f t="shared" si="38"/>
        <v>0.45709062119946059</v>
      </c>
      <c r="K199">
        <f t="shared" si="39"/>
        <v>0.75</v>
      </c>
      <c r="L199">
        <v>1</v>
      </c>
      <c r="M199">
        <f t="shared" si="37"/>
        <v>1.0154987040517294</v>
      </c>
      <c r="N199">
        <f t="shared" si="40"/>
        <v>8.5183860025667055</v>
      </c>
      <c r="O199">
        <f t="shared" si="41"/>
        <v>1.0415371323607481</v>
      </c>
      <c r="P199">
        <f t="shared" si="42"/>
        <v>1.0415371323607481</v>
      </c>
      <c r="Q199">
        <f t="shared" si="43"/>
        <v>66.681748680141823</v>
      </c>
    </row>
    <row r="200" spans="1:17" x14ac:dyDescent="0.6">
      <c r="A200">
        <v>199</v>
      </c>
      <c r="B200" s="2" t="s">
        <v>68</v>
      </c>
      <c r="C200" t="s">
        <v>10</v>
      </c>
      <c r="D200">
        <v>203</v>
      </c>
      <c r="F200">
        <v>121.55821</v>
      </c>
      <c r="G200">
        <v>49.472294640000001</v>
      </c>
      <c r="H200">
        <f t="shared" si="36"/>
        <v>1019.6296881982535</v>
      </c>
      <c r="I200">
        <v>306</v>
      </c>
      <c r="J200">
        <f t="shared" si="38"/>
        <v>0.38990250009986638</v>
      </c>
      <c r="K200">
        <f t="shared" si="39"/>
        <v>1</v>
      </c>
      <c r="L200">
        <v>1</v>
      </c>
      <c r="M200">
        <f t="shared" si="37"/>
        <v>2.6059689662976537</v>
      </c>
      <c r="N200">
        <f t="shared" si="40"/>
        <v>22.670649492911384</v>
      </c>
      <c r="O200">
        <f t="shared" si="41"/>
        <v>2.6727886833822088</v>
      </c>
      <c r="P200">
        <f t="shared" si="42"/>
        <v>2.6727886833822088</v>
      </c>
      <c r="Q200">
        <f t="shared" si="43"/>
        <v>331.27708213621685</v>
      </c>
    </row>
    <row r="201" spans="1:17" x14ac:dyDescent="0.6">
      <c r="A201">
        <v>200</v>
      </c>
      <c r="B201" s="2" t="s">
        <v>68</v>
      </c>
      <c r="C201" t="s">
        <v>10</v>
      </c>
      <c r="D201">
        <v>203</v>
      </c>
      <c r="F201">
        <v>72.530900000000003</v>
      </c>
      <c r="G201">
        <v>49.472294640000001</v>
      </c>
      <c r="H201">
        <f t="shared" si="36"/>
        <v>865.6058512769838</v>
      </c>
      <c r="I201">
        <v>323</v>
      </c>
      <c r="J201">
        <f t="shared" si="38"/>
        <v>0.49227378309407505</v>
      </c>
      <c r="K201">
        <f t="shared" si="39"/>
        <v>1</v>
      </c>
      <c r="L201">
        <v>1</v>
      </c>
      <c r="M201">
        <f t="shared" si="37"/>
        <v>2.6059689662976537</v>
      </c>
      <c r="N201">
        <f t="shared" si="40"/>
        <v>16.192131110148466</v>
      </c>
      <c r="O201">
        <f t="shared" si="41"/>
        <v>2.6727886833822088</v>
      </c>
      <c r="P201">
        <f t="shared" si="42"/>
        <v>2.6727886833822088</v>
      </c>
      <c r="Q201">
        <f t="shared" si="43"/>
        <v>167.80615012736263</v>
      </c>
    </row>
    <row r="202" spans="1:17" x14ac:dyDescent="0.6">
      <c r="A202">
        <v>201</v>
      </c>
      <c r="B202" s="2" t="s">
        <v>68</v>
      </c>
      <c r="C202" t="s">
        <v>10</v>
      </c>
      <c r="D202">
        <v>152</v>
      </c>
      <c r="F202">
        <v>80.791210000000007</v>
      </c>
      <c r="G202">
        <v>49.472294640000001</v>
      </c>
      <c r="H202">
        <f t="shared" si="36"/>
        <v>731.3351551562788</v>
      </c>
      <c r="I202">
        <v>243</v>
      </c>
      <c r="J202">
        <f t="shared" si="38"/>
        <v>0.46934597280617046</v>
      </c>
      <c r="K202">
        <f t="shared" si="39"/>
        <v>1</v>
      </c>
      <c r="L202">
        <v>1</v>
      </c>
      <c r="M202">
        <f t="shared" si="37"/>
        <v>2.6059689662976537</v>
      </c>
      <c r="N202">
        <f t="shared" si="40"/>
        <v>21.071013136062334</v>
      </c>
      <c r="O202">
        <f t="shared" si="41"/>
        <v>2.6727886833822088</v>
      </c>
      <c r="P202">
        <f t="shared" si="42"/>
        <v>2.6727886833822088</v>
      </c>
      <c r="Q202">
        <f t="shared" si="43"/>
        <v>157.92292772704133</v>
      </c>
    </row>
    <row r="203" spans="1:17" x14ac:dyDescent="0.6">
      <c r="A203">
        <v>202</v>
      </c>
      <c r="B203" s="2" t="s">
        <v>68</v>
      </c>
      <c r="C203" t="s">
        <v>10</v>
      </c>
      <c r="D203">
        <v>152</v>
      </c>
      <c r="F203">
        <v>85.724999999999994</v>
      </c>
      <c r="G203">
        <v>49.472294640000001</v>
      </c>
      <c r="H203">
        <f t="shared" si="36"/>
        <v>746.83511357463351</v>
      </c>
      <c r="I203">
        <v>148</v>
      </c>
      <c r="J203">
        <f t="shared" si="38"/>
        <v>0.45709062119946059</v>
      </c>
      <c r="K203">
        <f t="shared" si="39"/>
        <v>1</v>
      </c>
      <c r="L203">
        <v>1</v>
      </c>
      <c r="M203">
        <f t="shared" si="37"/>
        <v>2.6059689662976537</v>
      </c>
      <c r="N203">
        <f t="shared" si="40"/>
        <v>21.859850216512299</v>
      </c>
      <c r="O203">
        <f t="shared" si="41"/>
        <v>2.6727886833822088</v>
      </c>
      <c r="P203">
        <f t="shared" si="42"/>
        <v>2.6727886833822088</v>
      </c>
      <c r="Q203">
        <f t="shared" si="43"/>
        <v>171.11845341169169</v>
      </c>
    </row>
    <row r="204" spans="1:17" x14ac:dyDescent="0.6">
      <c r="A204">
        <v>203</v>
      </c>
      <c r="B204" s="2" t="s">
        <v>68</v>
      </c>
      <c r="C204" t="s">
        <v>10</v>
      </c>
      <c r="D204">
        <v>203</v>
      </c>
      <c r="F204">
        <v>38.1</v>
      </c>
      <c r="G204">
        <v>49.472294640000001</v>
      </c>
      <c r="H204">
        <f t="shared" si="36"/>
        <v>757.43798878049915</v>
      </c>
      <c r="I204">
        <v>74</v>
      </c>
      <c r="J204">
        <f t="shared" si="38"/>
        <v>0.64482588021916099</v>
      </c>
      <c r="K204">
        <f t="shared" si="39"/>
        <v>1</v>
      </c>
      <c r="L204">
        <v>1</v>
      </c>
      <c r="M204">
        <f t="shared" si="37"/>
        <v>2.6059689662976537</v>
      </c>
      <c r="N204">
        <f t="shared" si="40"/>
        <v>10.067479435697722</v>
      </c>
      <c r="O204">
        <f t="shared" si="41"/>
        <v>2.6727886833822088</v>
      </c>
      <c r="P204">
        <f t="shared" si="42"/>
        <v>2.6727886833822088</v>
      </c>
      <c r="Q204">
        <f t="shared" si="43"/>
        <v>77.132371189976979</v>
      </c>
    </row>
    <row r="205" spans="1:17" x14ac:dyDescent="0.6">
      <c r="A205">
        <v>204</v>
      </c>
      <c r="B205" s="2" t="s">
        <v>68</v>
      </c>
      <c r="C205" t="s">
        <v>10</v>
      </c>
      <c r="D205">
        <v>152</v>
      </c>
      <c r="F205">
        <v>38.1</v>
      </c>
      <c r="G205">
        <v>49.472294640000001</v>
      </c>
      <c r="H205">
        <f t="shared" si="36"/>
        <v>597.21676344741968</v>
      </c>
      <c r="I205">
        <v>70</v>
      </c>
      <c r="J205">
        <f t="shared" si="38"/>
        <v>0.64482588021916099</v>
      </c>
      <c r="K205">
        <f t="shared" si="39"/>
        <v>1</v>
      </c>
      <c r="L205">
        <v>1</v>
      </c>
      <c r="M205">
        <f t="shared" si="37"/>
        <v>2.6059689662976537</v>
      </c>
      <c r="N205">
        <f t="shared" si="40"/>
        <v>12.535338345710999</v>
      </c>
      <c r="O205">
        <f t="shared" si="41"/>
        <v>2.6727886833822088</v>
      </c>
      <c r="P205">
        <f t="shared" si="42"/>
        <v>2.6727886833822088</v>
      </c>
      <c r="Q205">
        <f t="shared" si="43"/>
        <v>60.816523281686528</v>
      </c>
    </row>
    <row r="206" spans="1:17" x14ac:dyDescent="0.6">
      <c r="A206">
        <v>205</v>
      </c>
      <c r="B206" s="2" t="s">
        <v>69</v>
      </c>
      <c r="C206" t="s">
        <v>10</v>
      </c>
      <c r="D206">
        <v>102</v>
      </c>
      <c r="F206">
        <v>82.55</v>
      </c>
      <c r="G206">
        <v>37.99145</v>
      </c>
      <c r="H206">
        <f t="shared" si="36"/>
        <v>579.78092421999634</v>
      </c>
      <c r="I206">
        <v>479</v>
      </c>
      <c r="J206">
        <f t="shared" si="38"/>
        <v>0.46486493277793528</v>
      </c>
      <c r="K206">
        <f t="shared" si="39"/>
        <v>1</v>
      </c>
      <c r="L206">
        <v>1</v>
      </c>
      <c r="M206">
        <f t="shared" si="37"/>
        <v>2.2836584331643168</v>
      </c>
      <c r="N206">
        <f t="shared" si="40"/>
        <v>23.578791920167074</v>
      </c>
      <c r="O206">
        <f t="shared" si="41"/>
        <v>2.3422137776044272</v>
      </c>
      <c r="P206">
        <f t="shared" si="42"/>
        <v>2.3422137776044272</v>
      </c>
      <c r="Q206">
        <f t="shared" si="43"/>
        <v>112.10049521121007</v>
      </c>
    </row>
    <row r="207" spans="1:17" x14ac:dyDescent="0.6">
      <c r="A207">
        <v>206</v>
      </c>
      <c r="B207" s="2" t="s">
        <v>69</v>
      </c>
      <c r="C207" t="s">
        <v>10</v>
      </c>
      <c r="D207">
        <v>102</v>
      </c>
      <c r="F207">
        <v>82.55</v>
      </c>
      <c r="G207">
        <v>37.99145</v>
      </c>
      <c r="H207">
        <f t="shared" si="36"/>
        <v>579.78092421999634</v>
      </c>
      <c r="I207">
        <v>204</v>
      </c>
      <c r="J207">
        <f t="shared" si="38"/>
        <v>0.46486493277793528</v>
      </c>
      <c r="K207">
        <f t="shared" si="39"/>
        <v>1</v>
      </c>
      <c r="L207">
        <v>1</v>
      </c>
      <c r="M207">
        <f t="shared" si="37"/>
        <v>2.2836584331643168</v>
      </c>
      <c r="N207">
        <f t="shared" si="40"/>
        <v>23.578791920167074</v>
      </c>
      <c r="O207">
        <f t="shared" si="41"/>
        <v>2.3422137776044272</v>
      </c>
      <c r="P207">
        <f t="shared" si="42"/>
        <v>2.3422137776044272</v>
      </c>
      <c r="Q207">
        <f t="shared" si="43"/>
        <v>112.10049521121007</v>
      </c>
    </row>
    <row r="208" spans="1:17" x14ac:dyDescent="0.6">
      <c r="A208">
        <v>207</v>
      </c>
      <c r="B208" s="2" t="s">
        <v>69</v>
      </c>
      <c r="C208" t="s">
        <v>10</v>
      </c>
      <c r="D208">
        <v>102</v>
      </c>
      <c r="F208">
        <v>82.55</v>
      </c>
      <c r="G208">
        <v>37.99145</v>
      </c>
      <c r="H208">
        <f t="shared" si="36"/>
        <v>579.78092421999634</v>
      </c>
      <c r="I208">
        <v>149</v>
      </c>
      <c r="J208">
        <f t="shared" si="38"/>
        <v>0.46486493277793528</v>
      </c>
      <c r="K208">
        <f t="shared" si="39"/>
        <v>1</v>
      </c>
      <c r="L208">
        <v>1</v>
      </c>
      <c r="M208">
        <f t="shared" si="37"/>
        <v>2.2836584331643168</v>
      </c>
      <c r="N208">
        <f t="shared" si="40"/>
        <v>23.578791920167074</v>
      </c>
      <c r="O208">
        <f t="shared" si="41"/>
        <v>2.3422137776044272</v>
      </c>
      <c r="P208">
        <f t="shared" si="42"/>
        <v>2.3422137776044272</v>
      </c>
      <c r="Q208">
        <f t="shared" si="43"/>
        <v>112.10049521121007</v>
      </c>
    </row>
    <row r="209" spans="1:17" x14ac:dyDescent="0.6">
      <c r="A209">
        <v>208</v>
      </c>
      <c r="B209" s="2" t="s">
        <v>69</v>
      </c>
      <c r="C209" t="s">
        <v>10</v>
      </c>
      <c r="D209">
        <v>102</v>
      </c>
      <c r="F209">
        <v>82.55</v>
      </c>
      <c r="G209">
        <v>37.99145</v>
      </c>
      <c r="H209">
        <f t="shared" si="36"/>
        <v>579.78092421999634</v>
      </c>
      <c r="I209">
        <v>129</v>
      </c>
      <c r="J209">
        <f t="shared" si="38"/>
        <v>0.46486493277793528</v>
      </c>
      <c r="K209">
        <f t="shared" si="39"/>
        <v>1</v>
      </c>
      <c r="L209">
        <v>1</v>
      </c>
      <c r="M209">
        <f t="shared" si="37"/>
        <v>2.2836584331643168</v>
      </c>
      <c r="N209">
        <f t="shared" si="40"/>
        <v>23.578791920167074</v>
      </c>
      <c r="O209">
        <f t="shared" si="41"/>
        <v>2.3422137776044272</v>
      </c>
      <c r="P209">
        <f t="shared" si="42"/>
        <v>2.3422137776044272</v>
      </c>
      <c r="Q209">
        <f t="shared" si="43"/>
        <v>112.10049521121007</v>
      </c>
    </row>
    <row r="210" spans="1:17" x14ac:dyDescent="0.6">
      <c r="A210">
        <v>209</v>
      </c>
      <c r="B210" s="2" t="s">
        <v>69</v>
      </c>
      <c r="C210" t="s">
        <v>10</v>
      </c>
      <c r="D210">
        <v>102</v>
      </c>
      <c r="F210">
        <v>82.55</v>
      </c>
      <c r="G210">
        <v>37.99145</v>
      </c>
      <c r="H210">
        <f t="shared" si="36"/>
        <v>579.78092421999634</v>
      </c>
      <c r="I210">
        <v>139</v>
      </c>
      <c r="J210">
        <f t="shared" si="38"/>
        <v>0.46486493277793528</v>
      </c>
      <c r="K210">
        <f t="shared" si="39"/>
        <v>1</v>
      </c>
      <c r="L210">
        <v>1</v>
      </c>
      <c r="M210">
        <f t="shared" si="37"/>
        <v>2.2836584331643168</v>
      </c>
      <c r="N210">
        <f t="shared" si="40"/>
        <v>23.578791920167074</v>
      </c>
      <c r="O210">
        <f t="shared" si="41"/>
        <v>2.3422137776044272</v>
      </c>
      <c r="P210">
        <f t="shared" si="42"/>
        <v>2.3422137776044272</v>
      </c>
      <c r="Q210">
        <f t="shared" si="43"/>
        <v>112.10049521121007</v>
      </c>
    </row>
    <row r="211" spans="1:17" x14ac:dyDescent="0.6">
      <c r="A211">
        <v>210</v>
      </c>
      <c r="B211" t="s">
        <v>15</v>
      </c>
      <c r="C211" t="s">
        <v>7</v>
      </c>
      <c r="D211">
        <v>250</v>
      </c>
      <c r="F211">
        <v>143</v>
      </c>
      <c r="G211">
        <v>23.25</v>
      </c>
      <c r="H211">
        <f t="shared" ref="H211:H223" si="44">4*D211+2*F211</f>
        <v>1286</v>
      </c>
      <c r="I211">
        <v>398</v>
      </c>
      <c r="J211">
        <f t="shared" si="38"/>
        <v>0.36155076303109362</v>
      </c>
      <c r="K211">
        <f t="shared" si="39"/>
        <v>0.75</v>
      </c>
      <c r="L211">
        <v>1</v>
      </c>
      <c r="M211">
        <f t="shared" si="37"/>
        <v>1.3398647276054589</v>
      </c>
      <c r="N211">
        <f t="shared" si="40"/>
        <v>10.90203376367131</v>
      </c>
      <c r="O211">
        <f t="shared" si="41"/>
        <v>1.3742202334414961</v>
      </c>
      <c r="P211">
        <f t="shared" si="42"/>
        <v>1.3742202334414961</v>
      </c>
      <c r="Q211">
        <f t="shared" si="43"/>
        <v>252.71635248942425</v>
      </c>
    </row>
    <row r="212" spans="1:17" x14ac:dyDescent="0.6">
      <c r="A212">
        <v>211</v>
      </c>
      <c r="B212" t="s">
        <v>15</v>
      </c>
      <c r="C212" t="s">
        <v>7</v>
      </c>
      <c r="D212">
        <v>250</v>
      </c>
      <c r="F212">
        <v>108</v>
      </c>
      <c r="G212">
        <v>26.175000000000001</v>
      </c>
      <c r="H212">
        <f t="shared" si="44"/>
        <v>1216</v>
      </c>
      <c r="I212">
        <v>282</v>
      </c>
      <c r="J212">
        <f t="shared" si="38"/>
        <v>0.41169348479630913</v>
      </c>
      <c r="K212">
        <f t="shared" si="39"/>
        <v>0.85</v>
      </c>
      <c r="L212">
        <v>1</v>
      </c>
      <c r="M212">
        <f t="shared" si="37"/>
        <v>1.6112038212108284</v>
      </c>
      <c r="N212">
        <f t="shared" si="40"/>
        <v>10.579197019972485</v>
      </c>
      <c r="O212">
        <f t="shared" si="41"/>
        <v>1.6525167397034137</v>
      </c>
      <c r="P212">
        <f t="shared" si="42"/>
        <v>1.6525167397034137</v>
      </c>
      <c r="Q212">
        <f t="shared" si="43"/>
        <v>217.02171839176992</v>
      </c>
    </row>
    <row r="213" spans="1:17" x14ac:dyDescent="0.6">
      <c r="A213">
        <v>212</v>
      </c>
      <c r="B213" t="s">
        <v>15</v>
      </c>
      <c r="C213" t="s">
        <v>7</v>
      </c>
      <c r="D213">
        <v>250</v>
      </c>
      <c r="F213">
        <v>110</v>
      </c>
      <c r="G213">
        <v>22.5</v>
      </c>
      <c r="H213">
        <f t="shared" si="44"/>
        <v>1220</v>
      </c>
      <c r="I213">
        <v>299</v>
      </c>
      <c r="J213">
        <f t="shared" si="38"/>
        <v>0.40824829046386302</v>
      </c>
      <c r="K213">
        <f t="shared" si="39"/>
        <v>0.75</v>
      </c>
      <c r="L213">
        <v>1</v>
      </c>
      <c r="M213">
        <f t="shared" si="37"/>
        <v>1.3180768572289328</v>
      </c>
      <c r="N213">
        <f t="shared" si="40"/>
        <v>8.7792182733864976</v>
      </c>
      <c r="O213">
        <f t="shared" si="41"/>
        <v>1.3518736997219822</v>
      </c>
      <c r="P213">
        <f t="shared" si="42"/>
        <v>1.3518736997219822</v>
      </c>
      <c r="Q213">
        <f t="shared" si="43"/>
        <v>181.42145050269002</v>
      </c>
    </row>
    <row r="214" spans="1:17" x14ac:dyDescent="0.6">
      <c r="A214">
        <v>213</v>
      </c>
      <c r="B214" t="s">
        <v>15</v>
      </c>
      <c r="C214" t="s">
        <v>7</v>
      </c>
      <c r="D214">
        <v>250</v>
      </c>
      <c r="F214">
        <v>110</v>
      </c>
      <c r="G214">
        <v>23.85</v>
      </c>
      <c r="H214">
        <f t="shared" si="44"/>
        <v>1220</v>
      </c>
      <c r="I214">
        <v>321</v>
      </c>
      <c r="J214">
        <f t="shared" si="38"/>
        <v>0.40824829046386302</v>
      </c>
      <c r="K214">
        <f t="shared" si="39"/>
        <v>0.75</v>
      </c>
      <c r="L214">
        <v>1</v>
      </c>
      <c r="M214">
        <f t="shared" si="37"/>
        <v>1.3570431819423621</v>
      </c>
      <c r="N214">
        <f t="shared" si="40"/>
        <v>9.0387584269781875</v>
      </c>
      <c r="O214">
        <f t="shared" si="41"/>
        <v>1.3918391609665253</v>
      </c>
      <c r="P214">
        <f t="shared" si="42"/>
        <v>1.3918391609665253</v>
      </c>
      <c r="Q214">
        <f t="shared" si="43"/>
        <v>186.78481540170768</v>
      </c>
    </row>
    <row r="215" spans="1:17" x14ac:dyDescent="0.6">
      <c r="A215">
        <v>214</v>
      </c>
      <c r="B215" t="s">
        <v>15</v>
      </c>
      <c r="C215" t="s">
        <v>7</v>
      </c>
      <c r="D215">
        <v>250</v>
      </c>
      <c r="F215">
        <v>110</v>
      </c>
      <c r="G215">
        <v>22.125</v>
      </c>
      <c r="H215">
        <f t="shared" si="44"/>
        <v>1220</v>
      </c>
      <c r="I215">
        <v>311</v>
      </c>
      <c r="J215">
        <f t="shared" si="38"/>
        <v>0.40824829046386302</v>
      </c>
      <c r="K215">
        <f t="shared" si="39"/>
        <v>0.75</v>
      </c>
      <c r="L215">
        <v>1</v>
      </c>
      <c r="M215">
        <f t="shared" si="37"/>
        <v>1.3070467314534417</v>
      </c>
      <c r="N215">
        <f t="shared" si="40"/>
        <v>8.7057507200834774</v>
      </c>
      <c r="O215">
        <f t="shared" si="41"/>
        <v>1.3405607502086581</v>
      </c>
      <c r="P215">
        <f t="shared" si="42"/>
        <v>1.3405607502086581</v>
      </c>
      <c r="Q215">
        <f t="shared" si="43"/>
        <v>179.90325267800191</v>
      </c>
    </row>
    <row r="216" spans="1:17" x14ac:dyDescent="0.6">
      <c r="A216">
        <v>215</v>
      </c>
      <c r="B216" t="s">
        <v>15</v>
      </c>
      <c r="C216" t="s">
        <v>7</v>
      </c>
      <c r="D216">
        <v>250</v>
      </c>
      <c r="F216">
        <v>110</v>
      </c>
      <c r="G216">
        <v>23.85</v>
      </c>
      <c r="H216">
        <f t="shared" si="44"/>
        <v>1220</v>
      </c>
      <c r="I216">
        <v>319</v>
      </c>
      <c r="J216">
        <f t="shared" si="38"/>
        <v>0.40824829046386302</v>
      </c>
      <c r="K216">
        <f t="shared" si="39"/>
        <v>0.75</v>
      </c>
      <c r="L216">
        <v>1</v>
      </c>
      <c r="M216">
        <f t="shared" si="37"/>
        <v>1.3570431819423621</v>
      </c>
      <c r="N216">
        <f t="shared" si="40"/>
        <v>9.0387584269781875</v>
      </c>
      <c r="O216">
        <f t="shared" si="41"/>
        <v>1.3918391609665253</v>
      </c>
      <c r="P216">
        <f t="shared" si="42"/>
        <v>1.3918391609665253</v>
      </c>
      <c r="Q216">
        <f t="shared" si="43"/>
        <v>186.78481540170768</v>
      </c>
    </row>
    <row r="217" spans="1:17" x14ac:dyDescent="0.6">
      <c r="A217">
        <v>216</v>
      </c>
      <c r="B217" t="s">
        <v>15</v>
      </c>
      <c r="C217" t="s">
        <v>7</v>
      </c>
      <c r="D217">
        <v>250</v>
      </c>
      <c r="F217">
        <v>110</v>
      </c>
      <c r="G217">
        <v>22.125</v>
      </c>
      <c r="H217">
        <f t="shared" si="44"/>
        <v>1220</v>
      </c>
      <c r="I217">
        <v>319</v>
      </c>
      <c r="J217">
        <f t="shared" si="38"/>
        <v>0.40824829046386302</v>
      </c>
      <c r="K217">
        <f t="shared" si="39"/>
        <v>0.75</v>
      </c>
      <c r="L217">
        <v>1</v>
      </c>
      <c r="M217">
        <f t="shared" si="37"/>
        <v>1.3070467314534417</v>
      </c>
      <c r="N217">
        <f t="shared" si="40"/>
        <v>8.7057507200834774</v>
      </c>
      <c r="O217">
        <f t="shared" si="41"/>
        <v>1.3405607502086581</v>
      </c>
      <c r="P217">
        <f t="shared" si="42"/>
        <v>1.3405607502086581</v>
      </c>
      <c r="Q217">
        <f t="shared" si="43"/>
        <v>179.90325267800191</v>
      </c>
    </row>
    <row r="218" spans="1:17" x14ac:dyDescent="0.6">
      <c r="A218">
        <v>217</v>
      </c>
      <c r="B218" t="s">
        <v>15</v>
      </c>
      <c r="C218" t="s">
        <v>7</v>
      </c>
      <c r="D218">
        <v>250</v>
      </c>
      <c r="F218">
        <v>110</v>
      </c>
      <c r="G218">
        <v>20.475000000000001</v>
      </c>
      <c r="H218">
        <f t="shared" si="44"/>
        <v>1220</v>
      </c>
      <c r="I218">
        <v>277</v>
      </c>
      <c r="J218">
        <f t="shared" si="38"/>
        <v>0.40824829046386302</v>
      </c>
      <c r="K218">
        <f t="shared" si="39"/>
        <v>0.75</v>
      </c>
      <c r="L218">
        <v>1</v>
      </c>
      <c r="M218">
        <f t="shared" si="37"/>
        <v>1.2573651845911256</v>
      </c>
      <c r="N218">
        <f t="shared" si="40"/>
        <v>8.3748404687793716</v>
      </c>
      <c r="O218">
        <f t="shared" si="41"/>
        <v>1.2896053175293596</v>
      </c>
      <c r="P218">
        <f t="shared" si="42"/>
        <v>1.2896053175293596</v>
      </c>
      <c r="Q218">
        <f t="shared" si="43"/>
        <v>173.06503361244009</v>
      </c>
    </row>
    <row r="219" spans="1:17" x14ac:dyDescent="0.6">
      <c r="A219">
        <v>218</v>
      </c>
      <c r="B219" t="s">
        <v>15</v>
      </c>
      <c r="C219" t="s">
        <v>7</v>
      </c>
      <c r="D219">
        <v>250</v>
      </c>
      <c r="F219">
        <v>108</v>
      </c>
      <c r="G219">
        <v>19.725000000000001</v>
      </c>
      <c r="H219">
        <f t="shared" si="44"/>
        <v>1216</v>
      </c>
      <c r="I219">
        <v>358</v>
      </c>
      <c r="J219">
        <f t="shared" si="38"/>
        <v>0.41169348479630913</v>
      </c>
      <c r="K219">
        <f t="shared" si="39"/>
        <v>0.75</v>
      </c>
      <c r="L219">
        <v>1</v>
      </c>
      <c r="M219">
        <f t="shared" si="37"/>
        <v>1.2341216798610766</v>
      </c>
      <c r="N219">
        <f t="shared" si="40"/>
        <v>8.1032680198449825</v>
      </c>
      <c r="O219">
        <f t="shared" si="41"/>
        <v>1.2657658254985402</v>
      </c>
      <c r="P219">
        <f t="shared" si="42"/>
        <v>1.2657658254985402</v>
      </c>
      <c r="Q219">
        <f t="shared" si="43"/>
        <v>166.23049433107229</v>
      </c>
    </row>
    <row r="220" spans="1:17" x14ac:dyDescent="0.6">
      <c r="A220">
        <v>219</v>
      </c>
      <c r="B220" t="s">
        <v>15</v>
      </c>
      <c r="C220" t="s">
        <v>7</v>
      </c>
      <c r="D220">
        <v>250</v>
      </c>
      <c r="F220">
        <v>112</v>
      </c>
      <c r="G220">
        <v>21.975000000000001</v>
      </c>
      <c r="H220">
        <f t="shared" si="44"/>
        <v>1224</v>
      </c>
      <c r="I220">
        <v>207</v>
      </c>
      <c r="J220">
        <f t="shared" si="38"/>
        <v>0.40488816508945802</v>
      </c>
      <c r="K220">
        <f t="shared" si="39"/>
        <v>0.75</v>
      </c>
      <c r="L220">
        <v>1</v>
      </c>
      <c r="M220">
        <f t="shared" si="37"/>
        <v>1.3026085293975991</v>
      </c>
      <c r="N220">
        <f t="shared" si="40"/>
        <v>8.7986194979044097</v>
      </c>
      <c r="O220">
        <f t="shared" si="41"/>
        <v>1.3360087481001015</v>
      </c>
      <c r="P220">
        <f t="shared" si="42"/>
        <v>1.3360087481001015</v>
      </c>
      <c r="Q220">
        <f t="shared" si="43"/>
        <v>183.15076725954674</v>
      </c>
    </row>
    <row r="221" spans="1:17" x14ac:dyDescent="0.6">
      <c r="A221">
        <v>220</v>
      </c>
      <c r="B221" t="s">
        <v>15</v>
      </c>
      <c r="C221" t="s">
        <v>7</v>
      </c>
      <c r="D221">
        <v>250</v>
      </c>
      <c r="F221">
        <v>110</v>
      </c>
      <c r="G221">
        <v>19.725000000000001</v>
      </c>
      <c r="H221">
        <f t="shared" si="44"/>
        <v>1220</v>
      </c>
      <c r="I221">
        <v>228</v>
      </c>
      <c r="J221">
        <f t="shared" si="38"/>
        <v>0.40824829046386302</v>
      </c>
      <c r="K221">
        <f t="shared" si="39"/>
        <v>0.75</v>
      </c>
      <c r="L221">
        <v>1</v>
      </c>
      <c r="M221">
        <f t="shared" si="37"/>
        <v>1.2341216798610766</v>
      </c>
      <c r="N221">
        <f t="shared" si="40"/>
        <v>8.2200241541278896</v>
      </c>
      <c r="O221">
        <f t="shared" si="41"/>
        <v>1.2657658254985402</v>
      </c>
      <c r="P221">
        <f t="shared" si="42"/>
        <v>1.2657658254985402</v>
      </c>
      <c r="Q221">
        <f t="shared" si="43"/>
        <v>169.8657737819041</v>
      </c>
    </row>
    <row r="222" spans="1:17" x14ac:dyDescent="0.6">
      <c r="A222">
        <v>221</v>
      </c>
      <c r="B222" t="s">
        <v>15</v>
      </c>
      <c r="C222" t="s">
        <v>7</v>
      </c>
      <c r="D222">
        <v>175</v>
      </c>
      <c r="F222">
        <v>110</v>
      </c>
      <c r="G222">
        <v>21.15</v>
      </c>
      <c r="H222">
        <f t="shared" si="44"/>
        <v>920</v>
      </c>
      <c r="I222">
        <v>265</v>
      </c>
      <c r="J222">
        <f t="shared" si="38"/>
        <v>0.40824829046386302</v>
      </c>
      <c r="K222">
        <f t="shared" si="39"/>
        <v>0.75</v>
      </c>
      <c r="L222">
        <v>1</v>
      </c>
      <c r="M222">
        <f t="shared" si="37"/>
        <v>1.2779229262630631</v>
      </c>
      <c r="N222">
        <f t="shared" si="40"/>
        <v>11.148439746506982</v>
      </c>
      <c r="O222">
        <f t="shared" si="41"/>
        <v>1.310690180782629</v>
      </c>
      <c r="P222">
        <f t="shared" si="42"/>
        <v>1.310690180782629</v>
      </c>
      <c r="Q222">
        <f t="shared" si="43"/>
        <v>132.64184629520207</v>
      </c>
    </row>
    <row r="223" spans="1:17" x14ac:dyDescent="0.6">
      <c r="A223">
        <v>222</v>
      </c>
      <c r="B223" t="s">
        <v>15</v>
      </c>
      <c r="C223" t="s">
        <v>7</v>
      </c>
      <c r="D223">
        <v>175</v>
      </c>
      <c r="F223">
        <v>110</v>
      </c>
      <c r="G223">
        <v>21.15</v>
      </c>
      <c r="H223">
        <f t="shared" si="44"/>
        <v>920</v>
      </c>
      <c r="I223">
        <v>275</v>
      </c>
      <c r="J223">
        <f t="shared" si="38"/>
        <v>0.40824829046386302</v>
      </c>
      <c r="K223">
        <f t="shared" si="39"/>
        <v>0.75</v>
      </c>
      <c r="L223">
        <v>1</v>
      </c>
      <c r="M223">
        <f t="shared" si="37"/>
        <v>1.2779229262630631</v>
      </c>
      <c r="N223">
        <f t="shared" si="40"/>
        <v>11.148439746506982</v>
      </c>
      <c r="O223">
        <f t="shared" si="41"/>
        <v>1.310690180782629</v>
      </c>
      <c r="P223">
        <f t="shared" si="42"/>
        <v>1.310690180782629</v>
      </c>
      <c r="Q223">
        <f t="shared" si="43"/>
        <v>132.64184629520207</v>
      </c>
    </row>
    <row r="224" spans="1:17" x14ac:dyDescent="0.6">
      <c r="A224">
        <v>223</v>
      </c>
      <c r="B224" s="2" t="s">
        <v>91</v>
      </c>
      <c r="C224" t="s">
        <v>10</v>
      </c>
      <c r="D224">
        <v>250</v>
      </c>
      <c r="F224">
        <v>200</v>
      </c>
      <c r="G224">
        <v>22.725000000000001</v>
      </c>
      <c r="H224">
        <f t="shared" ref="H224:H231" si="45">PI()*(D224+F224)</f>
        <v>1413.7166941154069</v>
      </c>
      <c r="I224">
        <v>603</v>
      </c>
      <c r="J224">
        <f t="shared" si="38"/>
        <v>0.30860669992418382</v>
      </c>
      <c r="K224">
        <f t="shared" si="39"/>
        <v>0.75</v>
      </c>
      <c r="L224">
        <v>1</v>
      </c>
      <c r="M224">
        <f t="shared" si="37"/>
        <v>1.3246508474228693</v>
      </c>
      <c r="N224">
        <f t="shared" si="40"/>
        <v>13.592410648211063</v>
      </c>
      <c r="O224">
        <f t="shared" si="41"/>
        <v>1.3586162537670452</v>
      </c>
      <c r="P224">
        <f t="shared" si="42"/>
        <v>1.3586162537670452</v>
      </c>
      <c r="Q224">
        <f t="shared" si="43"/>
        <v>384.13969576940116</v>
      </c>
    </row>
    <row r="225" spans="1:17" x14ac:dyDescent="0.6">
      <c r="A225">
        <v>224</v>
      </c>
      <c r="B225" s="2" t="s">
        <v>91</v>
      </c>
      <c r="C225" t="s">
        <v>10</v>
      </c>
      <c r="D225">
        <v>250</v>
      </c>
      <c r="F225">
        <v>199</v>
      </c>
      <c r="G225">
        <v>21.45</v>
      </c>
      <c r="H225">
        <f t="shared" si="45"/>
        <v>1410.5751014618172</v>
      </c>
      <c r="I225">
        <v>600</v>
      </c>
      <c r="J225">
        <f t="shared" si="38"/>
        <v>0.30934411244487298</v>
      </c>
      <c r="K225">
        <f t="shared" si="39"/>
        <v>0.75</v>
      </c>
      <c r="L225">
        <v>1</v>
      </c>
      <c r="M225">
        <f t="shared" si="37"/>
        <v>1.2869542960634812</v>
      </c>
      <c r="N225">
        <f t="shared" si="40"/>
        <v>13.170031899373594</v>
      </c>
      <c r="O225">
        <f t="shared" si="41"/>
        <v>1.319953124167673</v>
      </c>
      <c r="P225">
        <f t="shared" si="42"/>
        <v>1.319953124167673</v>
      </c>
      <c r="Q225">
        <f t="shared" si="43"/>
        <v>370.51670939748396</v>
      </c>
    </row>
    <row r="226" spans="1:17" x14ac:dyDescent="0.6">
      <c r="A226">
        <v>225</v>
      </c>
      <c r="B226" s="2" t="s">
        <v>91</v>
      </c>
      <c r="C226" t="s">
        <v>10</v>
      </c>
      <c r="D226">
        <v>250</v>
      </c>
      <c r="F226">
        <v>200</v>
      </c>
      <c r="G226">
        <v>23.774999999999999</v>
      </c>
      <c r="H226">
        <f t="shared" si="45"/>
        <v>1413.7166941154069</v>
      </c>
      <c r="I226">
        <v>489</v>
      </c>
      <c r="J226">
        <f t="shared" si="38"/>
        <v>0.30860669992418382</v>
      </c>
      <c r="K226">
        <f t="shared" si="39"/>
        <v>0.75</v>
      </c>
      <c r="L226">
        <v>1</v>
      </c>
      <c r="M226">
        <f t="shared" si="37"/>
        <v>1.354907786155344</v>
      </c>
      <c r="N226">
        <f t="shared" si="40"/>
        <v>13.902880940824158</v>
      </c>
      <c r="O226">
        <f t="shared" si="41"/>
        <v>1.3896490114413784</v>
      </c>
      <c r="P226">
        <f t="shared" si="42"/>
        <v>1.3896490114413784</v>
      </c>
      <c r="Q226">
        <f t="shared" si="43"/>
        <v>392.91400128712979</v>
      </c>
    </row>
    <row r="227" spans="1:17" x14ac:dyDescent="0.6">
      <c r="A227">
        <v>226</v>
      </c>
      <c r="B227" s="2" t="s">
        <v>91</v>
      </c>
      <c r="C227" t="s">
        <v>10</v>
      </c>
      <c r="D227">
        <v>250</v>
      </c>
      <c r="F227">
        <v>197</v>
      </c>
      <c r="G227">
        <v>22.65</v>
      </c>
      <c r="H227">
        <f t="shared" si="45"/>
        <v>1404.2919161546374</v>
      </c>
      <c r="I227">
        <v>444</v>
      </c>
      <c r="J227">
        <f t="shared" si="38"/>
        <v>0.3108349360801046</v>
      </c>
      <c r="K227">
        <f t="shared" si="39"/>
        <v>0.75</v>
      </c>
      <c r="L227">
        <v>1</v>
      </c>
      <c r="M227">
        <f t="shared" si="37"/>
        <v>1.3224631484114218</v>
      </c>
      <c r="N227">
        <f t="shared" si="40"/>
        <v>13.459818587499461</v>
      </c>
      <c r="O227">
        <f t="shared" si="41"/>
        <v>1.3563724599091505</v>
      </c>
      <c r="P227">
        <f t="shared" si="42"/>
        <v>1.3563724599091505</v>
      </c>
      <c r="Q227">
        <f t="shared" si="43"/>
        <v>375.2343475068044</v>
      </c>
    </row>
    <row r="228" spans="1:17" x14ac:dyDescent="0.6">
      <c r="A228">
        <v>227</v>
      </c>
      <c r="B228" s="2" t="s">
        <v>91</v>
      </c>
      <c r="C228" t="s">
        <v>10</v>
      </c>
      <c r="D228">
        <v>125</v>
      </c>
      <c r="F228">
        <v>100</v>
      </c>
      <c r="G228">
        <v>26.774999999999999</v>
      </c>
      <c r="H228">
        <f t="shared" si="45"/>
        <v>706.85834705770344</v>
      </c>
      <c r="I228">
        <v>216</v>
      </c>
      <c r="J228">
        <f t="shared" si="38"/>
        <v>0.42640143271122088</v>
      </c>
      <c r="K228">
        <f t="shared" si="39"/>
        <v>0.85</v>
      </c>
      <c r="L228">
        <v>1</v>
      </c>
      <c r="M228">
        <f t="shared" si="37"/>
        <v>1.6295657111204123</v>
      </c>
      <c r="N228">
        <f t="shared" si="40"/>
        <v>16.721180805406497</v>
      </c>
      <c r="O228">
        <f t="shared" si="41"/>
        <v>1.6713494473029871</v>
      </c>
      <c r="P228">
        <f t="shared" si="42"/>
        <v>1.6713494473029871</v>
      </c>
      <c r="Q228">
        <f t="shared" si="43"/>
        <v>118.14073076763957</v>
      </c>
    </row>
    <row r="229" spans="1:17" x14ac:dyDescent="0.6">
      <c r="A229">
        <v>228</v>
      </c>
      <c r="B229" s="2" t="s">
        <v>91</v>
      </c>
      <c r="C229" t="s">
        <v>10</v>
      </c>
      <c r="D229">
        <v>125</v>
      </c>
      <c r="F229">
        <v>99</v>
      </c>
      <c r="G229">
        <v>21.45</v>
      </c>
      <c r="H229">
        <f t="shared" si="45"/>
        <v>703.71675440411366</v>
      </c>
      <c r="I229">
        <v>194</v>
      </c>
      <c r="J229">
        <f t="shared" si="38"/>
        <v>0.42835293687811932</v>
      </c>
      <c r="K229">
        <f t="shared" si="39"/>
        <v>0.75</v>
      </c>
      <c r="L229">
        <v>1</v>
      </c>
      <c r="M229">
        <f t="shared" si="37"/>
        <v>1.2869542960634812</v>
      </c>
      <c r="N229">
        <f t="shared" si="40"/>
        <v>13.134303460488267</v>
      </c>
      <c r="O229">
        <f t="shared" si="41"/>
        <v>1.319953124167673</v>
      </c>
      <c r="P229">
        <f t="shared" si="42"/>
        <v>1.319953124167673</v>
      </c>
      <c r="Q229">
        <f t="shared" si="43"/>
        <v>91.958439721979644</v>
      </c>
    </row>
    <row r="230" spans="1:17" x14ac:dyDescent="0.6">
      <c r="A230">
        <v>229</v>
      </c>
      <c r="B230" s="2" t="s">
        <v>91</v>
      </c>
      <c r="C230" t="s">
        <v>10</v>
      </c>
      <c r="D230">
        <v>125</v>
      </c>
      <c r="F230">
        <v>98</v>
      </c>
      <c r="G230">
        <v>24.975000000000001</v>
      </c>
      <c r="H230">
        <f t="shared" si="45"/>
        <v>700.57516175052388</v>
      </c>
      <c r="I230">
        <v>145</v>
      </c>
      <c r="J230">
        <f t="shared" si="38"/>
        <v>0.43033148291193518</v>
      </c>
      <c r="K230">
        <f t="shared" si="39"/>
        <v>0.85</v>
      </c>
      <c r="L230">
        <v>1</v>
      </c>
      <c r="M230">
        <f t="shared" si="37"/>
        <v>1.5738374905733994</v>
      </c>
      <c r="N230">
        <f t="shared" si="40"/>
        <v>15.974181274964245</v>
      </c>
      <c r="O230">
        <f t="shared" si="41"/>
        <v>1.6141922980239995</v>
      </c>
      <c r="P230">
        <f t="shared" si="42"/>
        <v>1.6141922980239995</v>
      </c>
      <c r="Q230">
        <f t="shared" si="43"/>
        <v>110.8245769678921</v>
      </c>
    </row>
    <row r="231" spans="1:17" x14ac:dyDescent="0.6">
      <c r="A231">
        <v>230</v>
      </c>
      <c r="B231" s="2" t="s">
        <v>91</v>
      </c>
      <c r="C231" t="s">
        <v>10</v>
      </c>
      <c r="D231">
        <v>125</v>
      </c>
      <c r="F231">
        <v>99</v>
      </c>
      <c r="G231">
        <v>23.55</v>
      </c>
      <c r="H231">
        <f t="shared" si="45"/>
        <v>703.71675440411366</v>
      </c>
      <c r="I231">
        <v>148</v>
      </c>
      <c r="J231">
        <f t="shared" si="38"/>
        <v>0.42835293687811932</v>
      </c>
      <c r="K231">
        <f t="shared" si="39"/>
        <v>0.75</v>
      </c>
      <c r="L231">
        <v>1</v>
      </c>
      <c r="M231">
        <f t="shared" si="37"/>
        <v>1.348481309832936</v>
      </c>
      <c r="N231">
        <f t="shared" si="40"/>
        <v>13.762231330450323</v>
      </c>
      <c r="O231">
        <f t="shared" si="41"/>
        <v>1.3830577536748061</v>
      </c>
      <c r="P231">
        <f t="shared" si="42"/>
        <v>1.3830577536748061</v>
      </c>
      <c r="Q231">
        <f t="shared" si="43"/>
        <v>96.354810443378383</v>
      </c>
    </row>
    <row r="232" spans="1:17" x14ac:dyDescent="0.6">
      <c r="A232">
        <v>231</v>
      </c>
      <c r="B232" s="1" t="s">
        <v>30</v>
      </c>
      <c r="C232" t="s">
        <v>7</v>
      </c>
      <c r="D232">
        <v>100</v>
      </c>
      <c r="F232">
        <v>40.5</v>
      </c>
      <c r="G232">
        <v>28.8</v>
      </c>
      <c r="H232">
        <f t="shared" ref="H232:H265" si="46">4*D232+2*F232</f>
        <v>481</v>
      </c>
      <c r="I232">
        <v>36</v>
      </c>
      <c r="J232">
        <f t="shared" si="38"/>
        <v>0.62931677552755261</v>
      </c>
      <c r="K232">
        <f t="shared" si="39"/>
        <v>0.85</v>
      </c>
      <c r="L232">
        <v>1</v>
      </c>
      <c r="M232">
        <f t="shared" si="37"/>
        <v>1.6900648987538911</v>
      </c>
      <c r="N232">
        <f t="shared" si="40"/>
        <v>10.549513685226033</v>
      </c>
      <c r="O232">
        <f t="shared" si="41"/>
        <v>1.733399896157837</v>
      </c>
      <c r="P232">
        <f t="shared" si="42"/>
        <v>1.733399896157837</v>
      </c>
      <c r="Q232">
        <f t="shared" si="43"/>
        <v>33.767496677102741</v>
      </c>
    </row>
    <row r="233" spans="1:17" x14ac:dyDescent="0.6">
      <c r="A233">
        <v>232</v>
      </c>
      <c r="B233" s="1" t="s">
        <v>30</v>
      </c>
      <c r="C233" t="s">
        <v>7</v>
      </c>
      <c r="D233">
        <v>100</v>
      </c>
      <c r="F233">
        <v>40.5</v>
      </c>
      <c r="G233">
        <v>28.8</v>
      </c>
      <c r="H233">
        <f t="shared" si="46"/>
        <v>481</v>
      </c>
      <c r="I233">
        <v>49</v>
      </c>
      <c r="J233">
        <f t="shared" si="38"/>
        <v>0.62931677552755261</v>
      </c>
      <c r="K233">
        <f t="shared" si="39"/>
        <v>0.85</v>
      </c>
      <c r="L233">
        <v>1</v>
      </c>
      <c r="M233">
        <f t="shared" si="37"/>
        <v>1.6900648987538911</v>
      </c>
      <c r="N233">
        <f t="shared" si="40"/>
        <v>10.549513685226033</v>
      </c>
      <c r="O233">
        <f t="shared" si="41"/>
        <v>1.733399896157837</v>
      </c>
      <c r="P233">
        <f t="shared" si="42"/>
        <v>1.733399896157837</v>
      </c>
      <c r="Q233">
        <f t="shared" si="43"/>
        <v>33.767496677102741</v>
      </c>
    </row>
    <row r="234" spans="1:17" x14ac:dyDescent="0.6">
      <c r="A234">
        <v>233</v>
      </c>
      <c r="B234" s="1" t="s">
        <v>30</v>
      </c>
      <c r="C234" t="s">
        <v>7</v>
      </c>
      <c r="D234">
        <v>100</v>
      </c>
      <c r="F234">
        <v>40.5</v>
      </c>
      <c r="G234">
        <v>28.8</v>
      </c>
      <c r="H234">
        <f t="shared" si="46"/>
        <v>481</v>
      </c>
      <c r="I234">
        <v>57</v>
      </c>
      <c r="J234">
        <f t="shared" si="38"/>
        <v>0.62931677552755261</v>
      </c>
      <c r="K234">
        <f t="shared" si="39"/>
        <v>0.85</v>
      </c>
      <c r="L234">
        <v>1</v>
      </c>
      <c r="M234">
        <f t="shared" si="37"/>
        <v>1.6900648987538911</v>
      </c>
      <c r="N234">
        <f t="shared" si="40"/>
        <v>10.549513685226033</v>
      </c>
      <c r="O234">
        <f t="shared" si="41"/>
        <v>1.733399896157837</v>
      </c>
      <c r="P234">
        <f t="shared" si="42"/>
        <v>1.733399896157837</v>
      </c>
      <c r="Q234">
        <f t="shared" si="43"/>
        <v>33.767496677102741</v>
      </c>
    </row>
    <row r="235" spans="1:17" x14ac:dyDescent="0.6">
      <c r="A235">
        <v>234</v>
      </c>
      <c r="B235" s="1" t="s">
        <v>30</v>
      </c>
      <c r="C235" t="s">
        <v>7</v>
      </c>
      <c r="D235">
        <v>100</v>
      </c>
      <c r="F235">
        <v>40.5</v>
      </c>
      <c r="G235">
        <v>32.625</v>
      </c>
      <c r="H235">
        <f t="shared" si="46"/>
        <v>481</v>
      </c>
      <c r="I235">
        <v>56</v>
      </c>
      <c r="J235">
        <f t="shared" si="38"/>
        <v>0.62931677552755261</v>
      </c>
      <c r="K235">
        <f t="shared" si="39"/>
        <v>0.85</v>
      </c>
      <c r="L235">
        <v>1</v>
      </c>
      <c r="M235">
        <f t="shared" si="37"/>
        <v>1.7987980090231437</v>
      </c>
      <c r="N235">
        <f t="shared" si="40"/>
        <v>11.228234032396388</v>
      </c>
      <c r="O235">
        <f t="shared" si="41"/>
        <v>1.8449210348955318</v>
      </c>
      <c r="P235">
        <f t="shared" si="42"/>
        <v>1.8449210348955318</v>
      </c>
      <c r="Q235">
        <f t="shared" si="43"/>
        <v>35.939984220282405</v>
      </c>
    </row>
    <row r="236" spans="1:17" x14ac:dyDescent="0.6">
      <c r="A236">
        <v>235</v>
      </c>
      <c r="B236" s="1" t="s">
        <v>30</v>
      </c>
      <c r="C236" t="s">
        <v>7</v>
      </c>
      <c r="D236">
        <v>100</v>
      </c>
      <c r="F236">
        <v>40.5</v>
      </c>
      <c r="G236">
        <v>32.625</v>
      </c>
      <c r="H236">
        <f t="shared" si="46"/>
        <v>481</v>
      </c>
      <c r="I236">
        <v>57</v>
      </c>
      <c r="J236">
        <f t="shared" si="38"/>
        <v>0.62931677552755261</v>
      </c>
      <c r="K236">
        <f t="shared" si="39"/>
        <v>0.85</v>
      </c>
      <c r="L236">
        <v>1</v>
      </c>
      <c r="M236">
        <f t="shared" si="37"/>
        <v>1.7987980090231437</v>
      </c>
      <c r="N236">
        <f t="shared" si="40"/>
        <v>11.228234032396388</v>
      </c>
      <c r="O236">
        <f t="shared" si="41"/>
        <v>1.8449210348955318</v>
      </c>
      <c r="P236">
        <f t="shared" si="42"/>
        <v>1.8449210348955318</v>
      </c>
      <c r="Q236">
        <f t="shared" si="43"/>
        <v>35.939984220282405</v>
      </c>
    </row>
    <row r="237" spans="1:17" x14ac:dyDescent="0.6">
      <c r="A237">
        <v>236</v>
      </c>
      <c r="B237" s="1" t="s">
        <v>30</v>
      </c>
      <c r="C237" t="s">
        <v>7</v>
      </c>
      <c r="D237">
        <v>100</v>
      </c>
      <c r="F237">
        <v>40.5</v>
      </c>
      <c r="G237">
        <v>32.625</v>
      </c>
      <c r="H237">
        <f t="shared" si="46"/>
        <v>481</v>
      </c>
      <c r="I237">
        <v>66</v>
      </c>
      <c r="J237">
        <f t="shared" si="38"/>
        <v>0.62931677552755261</v>
      </c>
      <c r="K237">
        <f t="shared" si="39"/>
        <v>0.85</v>
      </c>
      <c r="L237">
        <v>1</v>
      </c>
      <c r="M237">
        <f t="shared" si="37"/>
        <v>1.7987980090231437</v>
      </c>
      <c r="N237">
        <f t="shared" si="40"/>
        <v>11.228234032396388</v>
      </c>
      <c r="O237">
        <f t="shared" si="41"/>
        <v>1.8449210348955318</v>
      </c>
      <c r="P237">
        <f t="shared" si="42"/>
        <v>1.8449210348955318</v>
      </c>
      <c r="Q237">
        <f t="shared" si="43"/>
        <v>35.939984220282405</v>
      </c>
    </row>
    <row r="238" spans="1:17" x14ac:dyDescent="0.6">
      <c r="A238">
        <v>237</v>
      </c>
      <c r="B238" s="1" t="s">
        <v>30</v>
      </c>
      <c r="C238" t="s">
        <v>7</v>
      </c>
      <c r="D238">
        <v>100</v>
      </c>
      <c r="F238">
        <v>40.5</v>
      </c>
      <c r="G238">
        <v>27.824999999999999</v>
      </c>
      <c r="H238">
        <f t="shared" si="46"/>
        <v>481</v>
      </c>
      <c r="I238">
        <v>71</v>
      </c>
      <c r="J238">
        <f t="shared" si="38"/>
        <v>0.62931677552755261</v>
      </c>
      <c r="K238">
        <f t="shared" si="39"/>
        <v>0.85</v>
      </c>
      <c r="L238">
        <v>1</v>
      </c>
      <c r="M238">
        <f t="shared" si="37"/>
        <v>1.6612107182009228</v>
      </c>
      <c r="N238">
        <f t="shared" si="40"/>
        <v>10.3694036948677</v>
      </c>
      <c r="O238">
        <f t="shared" si="41"/>
        <v>1.7038058648214591</v>
      </c>
      <c r="P238">
        <f t="shared" si="42"/>
        <v>1.7038058648214591</v>
      </c>
      <c r="Q238">
        <f t="shared" si="43"/>
        <v>33.190990149654432</v>
      </c>
    </row>
    <row r="239" spans="1:17" x14ac:dyDescent="0.6">
      <c r="A239">
        <v>238</v>
      </c>
      <c r="B239" s="1" t="s">
        <v>30</v>
      </c>
      <c r="C239" t="s">
        <v>7</v>
      </c>
      <c r="D239">
        <v>100</v>
      </c>
      <c r="F239">
        <v>40.5</v>
      </c>
      <c r="G239">
        <v>27.824999999999999</v>
      </c>
      <c r="H239">
        <f t="shared" si="46"/>
        <v>481</v>
      </c>
      <c r="I239">
        <v>71</v>
      </c>
      <c r="J239">
        <f t="shared" si="38"/>
        <v>0.62931677552755261</v>
      </c>
      <c r="K239">
        <f t="shared" si="39"/>
        <v>0.85</v>
      </c>
      <c r="L239">
        <v>1</v>
      </c>
      <c r="M239">
        <f t="shared" si="37"/>
        <v>1.6612107182009228</v>
      </c>
      <c r="N239">
        <f t="shared" si="40"/>
        <v>10.3694036948677</v>
      </c>
      <c r="O239">
        <f t="shared" si="41"/>
        <v>1.7038058648214591</v>
      </c>
      <c r="P239">
        <f t="shared" si="42"/>
        <v>1.7038058648214591</v>
      </c>
      <c r="Q239">
        <f t="shared" si="43"/>
        <v>33.190990149654432</v>
      </c>
    </row>
    <row r="240" spans="1:17" x14ac:dyDescent="0.6">
      <c r="A240">
        <v>239</v>
      </c>
      <c r="B240" s="1" t="s">
        <v>30</v>
      </c>
      <c r="C240" t="s">
        <v>7</v>
      </c>
      <c r="D240">
        <v>100</v>
      </c>
      <c r="F240">
        <v>40.5</v>
      </c>
      <c r="G240">
        <v>27.824999999999999</v>
      </c>
      <c r="H240">
        <f t="shared" si="46"/>
        <v>481</v>
      </c>
      <c r="I240">
        <v>79</v>
      </c>
      <c r="J240">
        <f t="shared" si="38"/>
        <v>0.62931677552755261</v>
      </c>
      <c r="K240">
        <f t="shared" si="39"/>
        <v>0.85</v>
      </c>
      <c r="L240">
        <v>1</v>
      </c>
      <c r="M240">
        <f t="shared" si="37"/>
        <v>1.6612107182009228</v>
      </c>
      <c r="N240">
        <f t="shared" si="40"/>
        <v>10.3694036948677</v>
      </c>
      <c r="O240">
        <f t="shared" si="41"/>
        <v>1.7038058648214591</v>
      </c>
      <c r="P240">
        <f t="shared" si="42"/>
        <v>1.7038058648214591</v>
      </c>
      <c r="Q240">
        <f t="shared" si="43"/>
        <v>33.190990149654432</v>
      </c>
    </row>
    <row r="241" spans="1:17" x14ac:dyDescent="0.6">
      <c r="A241">
        <v>240</v>
      </c>
      <c r="B241" s="1" t="s">
        <v>30</v>
      </c>
      <c r="C241" t="s">
        <v>7</v>
      </c>
      <c r="D241">
        <v>100</v>
      </c>
      <c r="F241">
        <v>40.5</v>
      </c>
      <c r="G241">
        <v>28.05</v>
      </c>
      <c r="H241">
        <f t="shared" si="46"/>
        <v>481</v>
      </c>
      <c r="I241">
        <v>44</v>
      </c>
      <c r="J241">
        <f t="shared" si="38"/>
        <v>0.62931677552755261</v>
      </c>
      <c r="K241">
        <f t="shared" si="39"/>
        <v>0.85</v>
      </c>
      <c r="L241">
        <v>1</v>
      </c>
      <c r="M241">
        <f t="shared" si="37"/>
        <v>1.6679136804047296</v>
      </c>
      <c r="N241">
        <f t="shared" si="40"/>
        <v>10.411244094933254</v>
      </c>
      <c r="O241">
        <f t="shared" si="41"/>
        <v>1.7106806978510047</v>
      </c>
      <c r="P241">
        <f t="shared" si="42"/>
        <v>1.7106806978510047</v>
      </c>
      <c r="Q241">
        <f t="shared" si="43"/>
        <v>33.324915334486498</v>
      </c>
    </row>
    <row r="242" spans="1:17" x14ac:dyDescent="0.6">
      <c r="A242">
        <v>241</v>
      </c>
      <c r="B242" s="1" t="s">
        <v>30</v>
      </c>
      <c r="C242" t="s">
        <v>7</v>
      </c>
      <c r="D242">
        <v>100</v>
      </c>
      <c r="F242">
        <v>40.5</v>
      </c>
      <c r="G242">
        <v>28.05</v>
      </c>
      <c r="H242">
        <f t="shared" si="46"/>
        <v>481</v>
      </c>
      <c r="I242">
        <v>55</v>
      </c>
      <c r="J242">
        <f t="shared" si="38"/>
        <v>0.62931677552755261</v>
      </c>
      <c r="K242">
        <f t="shared" si="39"/>
        <v>0.85</v>
      </c>
      <c r="L242">
        <v>1</v>
      </c>
      <c r="M242">
        <f t="shared" si="37"/>
        <v>1.6679136804047296</v>
      </c>
      <c r="N242">
        <f t="shared" si="40"/>
        <v>10.411244094933254</v>
      </c>
      <c r="O242">
        <f t="shared" si="41"/>
        <v>1.7106806978510047</v>
      </c>
      <c r="P242">
        <f t="shared" si="42"/>
        <v>1.7106806978510047</v>
      </c>
      <c r="Q242">
        <f t="shared" si="43"/>
        <v>33.324915334486498</v>
      </c>
    </row>
    <row r="243" spans="1:17" x14ac:dyDescent="0.6">
      <c r="A243">
        <v>242</v>
      </c>
      <c r="B243" s="1" t="s">
        <v>30</v>
      </c>
      <c r="C243" t="s">
        <v>7</v>
      </c>
      <c r="D243">
        <v>100</v>
      </c>
      <c r="F243">
        <v>40.5</v>
      </c>
      <c r="G243">
        <v>28.05</v>
      </c>
      <c r="H243">
        <f t="shared" si="46"/>
        <v>481</v>
      </c>
      <c r="I243">
        <v>67</v>
      </c>
      <c r="J243">
        <f t="shared" si="38"/>
        <v>0.62931677552755261</v>
      </c>
      <c r="K243">
        <f t="shared" si="39"/>
        <v>0.85</v>
      </c>
      <c r="L243">
        <v>1</v>
      </c>
      <c r="M243">
        <f t="shared" si="37"/>
        <v>1.6679136804047296</v>
      </c>
      <c r="N243">
        <f t="shared" si="40"/>
        <v>10.411244094933254</v>
      </c>
      <c r="O243">
        <f t="shared" si="41"/>
        <v>1.7106806978510047</v>
      </c>
      <c r="P243">
        <f t="shared" si="42"/>
        <v>1.7106806978510047</v>
      </c>
      <c r="Q243">
        <f t="shared" si="43"/>
        <v>33.324915334486498</v>
      </c>
    </row>
    <row r="244" spans="1:17" x14ac:dyDescent="0.6">
      <c r="A244">
        <v>243</v>
      </c>
      <c r="B244" s="1" t="s">
        <v>30</v>
      </c>
      <c r="C244" t="s">
        <v>7</v>
      </c>
      <c r="D244">
        <v>100</v>
      </c>
      <c r="F244">
        <v>40.5</v>
      </c>
      <c r="G244">
        <v>31.875</v>
      </c>
      <c r="H244">
        <f t="shared" si="46"/>
        <v>481</v>
      </c>
      <c r="I244">
        <v>49</v>
      </c>
      <c r="J244">
        <f t="shared" si="38"/>
        <v>0.62931677552755261</v>
      </c>
      <c r="K244">
        <f t="shared" si="39"/>
        <v>0.85</v>
      </c>
      <c r="L244">
        <v>1</v>
      </c>
      <c r="M244">
        <f t="shared" si="37"/>
        <v>1.778001957408055</v>
      </c>
      <c r="N244">
        <f t="shared" si="40"/>
        <v>11.098423495964441</v>
      </c>
      <c r="O244">
        <f t="shared" si="41"/>
        <v>1.8235917511877486</v>
      </c>
      <c r="P244">
        <f t="shared" si="42"/>
        <v>1.8235917511877486</v>
      </c>
      <c r="Q244">
        <f t="shared" si="43"/>
        <v>35.524479109012937</v>
      </c>
    </row>
    <row r="245" spans="1:17" x14ac:dyDescent="0.6">
      <c r="A245">
        <v>244</v>
      </c>
      <c r="B245" s="1" t="s">
        <v>30</v>
      </c>
      <c r="C245" t="s">
        <v>7</v>
      </c>
      <c r="D245">
        <v>100</v>
      </c>
      <c r="F245">
        <v>40.5</v>
      </c>
      <c r="G245">
        <v>31.875</v>
      </c>
      <c r="H245">
        <f t="shared" si="46"/>
        <v>481</v>
      </c>
      <c r="I245">
        <v>52</v>
      </c>
      <c r="J245">
        <f t="shared" si="38"/>
        <v>0.62931677552755261</v>
      </c>
      <c r="K245">
        <f t="shared" si="39"/>
        <v>0.85</v>
      </c>
      <c r="L245">
        <v>1</v>
      </c>
      <c r="M245">
        <f t="shared" si="37"/>
        <v>1.778001957408055</v>
      </c>
      <c r="N245">
        <f t="shared" si="40"/>
        <v>11.098423495964441</v>
      </c>
      <c r="O245">
        <f t="shared" si="41"/>
        <v>1.8235917511877486</v>
      </c>
      <c r="P245">
        <f t="shared" si="42"/>
        <v>1.8235917511877486</v>
      </c>
      <c r="Q245">
        <f t="shared" si="43"/>
        <v>35.524479109012937</v>
      </c>
    </row>
    <row r="246" spans="1:17" x14ac:dyDescent="0.6">
      <c r="A246">
        <v>245</v>
      </c>
      <c r="B246" s="1" t="s">
        <v>30</v>
      </c>
      <c r="C246" t="s">
        <v>7</v>
      </c>
      <c r="D246">
        <v>100</v>
      </c>
      <c r="F246">
        <v>40.5</v>
      </c>
      <c r="G246">
        <v>31.875</v>
      </c>
      <c r="H246">
        <f t="shared" si="46"/>
        <v>481</v>
      </c>
      <c r="I246">
        <v>85</v>
      </c>
      <c r="J246">
        <f t="shared" si="38"/>
        <v>0.62931677552755261</v>
      </c>
      <c r="K246">
        <f t="shared" si="39"/>
        <v>0.85</v>
      </c>
      <c r="L246">
        <v>1</v>
      </c>
      <c r="M246">
        <f t="shared" si="37"/>
        <v>1.778001957408055</v>
      </c>
      <c r="N246">
        <f t="shared" si="40"/>
        <v>11.098423495964441</v>
      </c>
      <c r="O246">
        <f t="shared" si="41"/>
        <v>1.8235917511877486</v>
      </c>
      <c r="P246">
        <f t="shared" si="42"/>
        <v>1.8235917511877486</v>
      </c>
      <c r="Q246">
        <f t="shared" si="43"/>
        <v>35.524479109012937</v>
      </c>
    </row>
    <row r="247" spans="1:17" x14ac:dyDescent="0.6">
      <c r="A247">
        <v>246</v>
      </c>
      <c r="B247" s="1" t="s">
        <v>30</v>
      </c>
      <c r="C247" t="s">
        <v>7</v>
      </c>
      <c r="D247">
        <v>100</v>
      </c>
      <c r="F247">
        <v>46.5</v>
      </c>
      <c r="G247">
        <v>27</v>
      </c>
      <c r="H247">
        <f t="shared" si="46"/>
        <v>493</v>
      </c>
      <c r="I247">
        <v>45</v>
      </c>
      <c r="J247">
        <f t="shared" si="38"/>
        <v>0.59496411730872956</v>
      </c>
      <c r="K247">
        <f t="shared" si="39"/>
        <v>0.85</v>
      </c>
      <c r="L247">
        <v>1</v>
      </c>
      <c r="M247">
        <f t="shared" si="37"/>
        <v>1.6363983017208861</v>
      </c>
      <c r="N247">
        <f t="shared" si="40"/>
        <v>11.376756236870728</v>
      </c>
      <c r="O247">
        <f t="shared" si="41"/>
        <v>1.6783572325342422</v>
      </c>
      <c r="P247">
        <f t="shared" si="42"/>
        <v>1.6783572325342422</v>
      </c>
      <c r="Q247">
        <f t="shared" si="43"/>
        <v>38.475500377231235</v>
      </c>
    </row>
    <row r="248" spans="1:17" x14ac:dyDescent="0.6">
      <c r="A248">
        <v>247</v>
      </c>
      <c r="B248" s="1" t="s">
        <v>30</v>
      </c>
      <c r="C248" t="s">
        <v>7</v>
      </c>
      <c r="D248">
        <v>100</v>
      </c>
      <c r="F248">
        <v>46.5</v>
      </c>
      <c r="G248">
        <v>27</v>
      </c>
      <c r="H248">
        <f t="shared" si="46"/>
        <v>493</v>
      </c>
      <c r="I248">
        <v>66</v>
      </c>
      <c r="J248">
        <f t="shared" si="38"/>
        <v>0.59496411730872956</v>
      </c>
      <c r="K248">
        <f t="shared" si="39"/>
        <v>0.85</v>
      </c>
      <c r="L248">
        <v>1</v>
      </c>
      <c r="M248">
        <f t="shared" si="37"/>
        <v>1.6363983017208861</v>
      </c>
      <c r="N248">
        <f t="shared" si="40"/>
        <v>11.376756236870728</v>
      </c>
      <c r="O248">
        <f t="shared" si="41"/>
        <v>1.6783572325342422</v>
      </c>
      <c r="P248">
        <f t="shared" si="42"/>
        <v>1.6783572325342422</v>
      </c>
      <c r="Q248">
        <f t="shared" si="43"/>
        <v>38.475500377231235</v>
      </c>
    </row>
    <row r="249" spans="1:17" x14ac:dyDescent="0.6">
      <c r="A249">
        <v>248</v>
      </c>
      <c r="B249" s="1" t="s">
        <v>30</v>
      </c>
      <c r="C249" t="s">
        <v>7</v>
      </c>
      <c r="D249">
        <v>100</v>
      </c>
      <c r="F249">
        <v>46.5</v>
      </c>
      <c r="G249">
        <v>27</v>
      </c>
      <c r="H249">
        <f t="shared" si="46"/>
        <v>493</v>
      </c>
      <c r="I249">
        <v>90</v>
      </c>
      <c r="J249">
        <f t="shared" si="38"/>
        <v>0.59496411730872956</v>
      </c>
      <c r="K249">
        <f t="shared" si="39"/>
        <v>0.85</v>
      </c>
      <c r="L249">
        <v>1</v>
      </c>
      <c r="M249">
        <f t="shared" si="37"/>
        <v>1.6363983017208861</v>
      </c>
      <c r="N249">
        <f t="shared" si="40"/>
        <v>11.376756236870728</v>
      </c>
      <c r="O249">
        <f t="shared" si="41"/>
        <v>1.6783572325342422</v>
      </c>
      <c r="P249">
        <f t="shared" si="42"/>
        <v>1.6783572325342422</v>
      </c>
      <c r="Q249">
        <f t="shared" si="43"/>
        <v>38.475500377231235</v>
      </c>
    </row>
    <row r="250" spans="1:17" x14ac:dyDescent="0.6">
      <c r="A250">
        <v>249</v>
      </c>
      <c r="B250" s="1" t="s">
        <v>30</v>
      </c>
      <c r="C250" t="s">
        <v>7</v>
      </c>
      <c r="D250">
        <v>100</v>
      </c>
      <c r="F250">
        <v>46.5</v>
      </c>
      <c r="G250">
        <v>28.95</v>
      </c>
      <c r="H250">
        <f t="shared" si="46"/>
        <v>493</v>
      </c>
      <c r="I250">
        <v>97</v>
      </c>
      <c r="J250">
        <f t="shared" si="38"/>
        <v>0.59496411730872956</v>
      </c>
      <c r="K250">
        <f t="shared" si="39"/>
        <v>0.85</v>
      </c>
      <c r="L250">
        <v>1</v>
      </c>
      <c r="M250">
        <f t="shared" si="37"/>
        <v>1.6944603935600711</v>
      </c>
      <c r="N250">
        <f t="shared" si="40"/>
        <v>11.780422181013144</v>
      </c>
      <c r="O250">
        <f t="shared" si="41"/>
        <v>1.7379080959590472</v>
      </c>
      <c r="P250">
        <f t="shared" si="42"/>
        <v>1.7379080959590472</v>
      </c>
      <c r="Q250">
        <f t="shared" si="43"/>
        <v>39.840674145813182</v>
      </c>
    </row>
    <row r="251" spans="1:17" x14ac:dyDescent="0.6">
      <c r="A251">
        <v>250</v>
      </c>
      <c r="B251" s="1" t="s">
        <v>30</v>
      </c>
      <c r="C251" t="s">
        <v>7</v>
      </c>
      <c r="D251">
        <v>100</v>
      </c>
      <c r="F251">
        <v>35</v>
      </c>
      <c r="G251">
        <v>35.325000000000003</v>
      </c>
      <c r="H251">
        <f t="shared" si="46"/>
        <v>470</v>
      </c>
      <c r="I251">
        <v>29</v>
      </c>
      <c r="J251">
        <f t="shared" si="38"/>
        <v>0.66666666666666663</v>
      </c>
      <c r="K251">
        <f t="shared" si="39"/>
        <v>1</v>
      </c>
      <c r="L251">
        <v>1</v>
      </c>
      <c r="M251">
        <f t="shared" si="37"/>
        <v>2.2020607578470677</v>
      </c>
      <c r="N251">
        <f t="shared" si="40"/>
        <v>12.241616598214398</v>
      </c>
      <c r="O251">
        <f t="shared" si="41"/>
        <v>2.2585238542021204</v>
      </c>
      <c r="P251">
        <f t="shared" si="42"/>
        <v>2.2585238542021204</v>
      </c>
      <c r="Q251">
        <f t="shared" si="43"/>
        <v>37.152717401624884</v>
      </c>
    </row>
    <row r="252" spans="1:17" x14ac:dyDescent="0.6">
      <c r="A252">
        <v>251</v>
      </c>
      <c r="B252" s="1" t="s">
        <v>30</v>
      </c>
      <c r="C252" t="s">
        <v>7</v>
      </c>
      <c r="D252">
        <v>100</v>
      </c>
      <c r="F252">
        <v>35</v>
      </c>
      <c r="G252">
        <v>35.325000000000003</v>
      </c>
      <c r="H252">
        <f t="shared" si="46"/>
        <v>470</v>
      </c>
      <c r="I252">
        <v>38</v>
      </c>
      <c r="J252">
        <f t="shared" si="38"/>
        <v>0.66666666666666663</v>
      </c>
      <c r="K252">
        <f t="shared" si="39"/>
        <v>1</v>
      </c>
      <c r="L252">
        <v>1</v>
      </c>
      <c r="M252">
        <f t="shared" si="37"/>
        <v>2.2020607578470677</v>
      </c>
      <c r="N252">
        <f t="shared" si="40"/>
        <v>12.241616598214398</v>
      </c>
      <c r="O252">
        <f t="shared" si="41"/>
        <v>2.2585238542021204</v>
      </c>
      <c r="P252">
        <f t="shared" si="42"/>
        <v>2.2585238542021204</v>
      </c>
      <c r="Q252">
        <f t="shared" si="43"/>
        <v>37.152717401624884</v>
      </c>
    </row>
    <row r="253" spans="1:17" x14ac:dyDescent="0.6">
      <c r="A253">
        <v>252</v>
      </c>
      <c r="B253" s="1" t="s">
        <v>30</v>
      </c>
      <c r="C253" t="s">
        <v>7</v>
      </c>
      <c r="D253">
        <v>100</v>
      </c>
      <c r="F253">
        <v>35</v>
      </c>
      <c r="G253">
        <v>35.325000000000003</v>
      </c>
      <c r="H253">
        <f t="shared" si="46"/>
        <v>470</v>
      </c>
      <c r="I253">
        <v>57</v>
      </c>
      <c r="J253">
        <f t="shared" si="38"/>
        <v>0.66666666666666663</v>
      </c>
      <c r="K253">
        <f t="shared" si="39"/>
        <v>1</v>
      </c>
      <c r="L253">
        <v>1</v>
      </c>
      <c r="M253">
        <f t="shared" si="37"/>
        <v>2.2020607578470677</v>
      </c>
      <c r="N253">
        <f t="shared" si="40"/>
        <v>12.241616598214398</v>
      </c>
      <c r="O253">
        <f t="shared" si="41"/>
        <v>2.2585238542021204</v>
      </c>
      <c r="P253">
        <f t="shared" si="42"/>
        <v>2.2585238542021204</v>
      </c>
      <c r="Q253">
        <f t="shared" si="43"/>
        <v>37.152717401624884</v>
      </c>
    </row>
    <row r="254" spans="1:17" x14ac:dyDescent="0.6">
      <c r="A254">
        <v>253</v>
      </c>
      <c r="B254" s="1" t="s">
        <v>30</v>
      </c>
      <c r="C254" t="s">
        <v>7</v>
      </c>
      <c r="D254">
        <v>100</v>
      </c>
      <c r="F254">
        <v>35</v>
      </c>
      <c r="G254">
        <v>28.95</v>
      </c>
      <c r="H254">
        <f t="shared" si="46"/>
        <v>470</v>
      </c>
      <c r="I254">
        <v>73</v>
      </c>
      <c r="J254">
        <f t="shared" si="38"/>
        <v>0.66666666666666663</v>
      </c>
      <c r="K254">
        <f t="shared" si="39"/>
        <v>0.85</v>
      </c>
      <c r="L254">
        <v>1</v>
      </c>
      <c r="M254">
        <f t="shared" si="37"/>
        <v>1.6944603935600711</v>
      </c>
      <c r="N254">
        <f t="shared" si="40"/>
        <v>9.4197829941359217</v>
      </c>
      <c r="O254">
        <f t="shared" si="41"/>
        <v>1.7379080959590472</v>
      </c>
      <c r="P254">
        <f t="shared" si="42"/>
        <v>1.7379080959590472</v>
      </c>
      <c r="Q254">
        <f t="shared" si="43"/>
        <v>28.588588178526326</v>
      </c>
    </row>
    <row r="255" spans="1:17" x14ac:dyDescent="0.6">
      <c r="A255">
        <v>254</v>
      </c>
      <c r="B255" s="1" t="s">
        <v>30</v>
      </c>
      <c r="C255" t="s">
        <v>7</v>
      </c>
      <c r="D255">
        <v>100</v>
      </c>
      <c r="F255">
        <v>53.5</v>
      </c>
      <c r="G255">
        <v>26.1</v>
      </c>
      <c r="H255">
        <f t="shared" si="46"/>
        <v>507</v>
      </c>
      <c r="I255">
        <v>63</v>
      </c>
      <c r="J255">
        <f t="shared" si="38"/>
        <v>0.56121353326631374</v>
      </c>
      <c r="K255">
        <f t="shared" si="39"/>
        <v>0.85</v>
      </c>
      <c r="L255">
        <v>1</v>
      </c>
      <c r="M255">
        <f t="shared" si="37"/>
        <v>1.6088938503868115</v>
      </c>
      <c r="N255">
        <f t="shared" si="40"/>
        <v>12.450318642290526</v>
      </c>
      <c r="O255">
        <f t="shared" si="41"/>
        <v>1.6501475388582683</v>
      </c>
      <c r="P255">
        <f t="shared" si="42"/>
        <v>1.6501475388582683</v>
      </c>
      <c r="Q255">
        <f t="shared" si="43"/>
        <v>44.75942691776109</v>
      </c>
    </row>
    <row r="256" spans="1:17" x14ac:dyDescent="0.6">
      <c r="A256">
        <v>255</v>
      </c>
      <c r="B256" s="1" t="s">
        <v>30</v>
      </c>
      <c r="C256" t="s">
        <v>7</v>
      </c>
      <c r="D256">
        <v>100</v>
      </c>
      <c r="F256">
        <v>53.5</v>
      </c>
      <c r="G256">
        <v>30.375</v>
      </c>
      <c r="H256">
        <f t="shared" si="46"/>
        <v>507</v>
      </c>
      <c r="I256">
        <v>88</v>
      </c>
      <c r="J256">
        <f t="shared" si="38"/>
        <v>0.56121353326631374</v>
      </c>
      <c r="K256">
        <f t="shared" si="39"/>
        <v>0.85</v>
      </c>
      <c r="L256">
        <v>1</v>
      </c>
      <c r="M256">
        <f t="shared" si="37"/>
        <v>1.7356625038034827</v>
      </c>
      <c r="N256">
        <f t="shared" si="40"/>
        <v>13.431309481749691</v>
      </c>
      <c r="O256">
        <f t="shared" si="41"/>
        <v>1.7801666705676746</v>
      </c>
      <c r="P256">
        <f t="shared" si="42"/>
        <v>1.7801666705676746</v>
      </c>
      <c r="Q256">
        <f t="shared" si="43"/>
        <v>48.286130855812885</v>
      </c>
    </row>
    <row r="257" spans="1:17" x14ac:dyDescent="0.6">
      <c r="A257">
        <v>256</v>
      </c>
      <c r="B257" s="1" t="s">
        <v>30</v>
      </c>
      <c r="C257" t="s">
        <v>7</v>
      </c>
      <c r="D257">
        <v>100</v>
      </c>
      <c r="F257">
        <v>53.5</v>
      </c>
      <c r="G257">
        <v>30.375</v>
      </c>
      <c r="H257">
        <f t="shared" si="46"/>
        <v>507</v>
      </c>
      <c r="I257">
        <v>124</v>
      </c>
      <c r="J257">
        <f t="shared" si="38"/>
        <v>0.56121353326631374</v>
      </c>
      <c r="K257">
        <f t="shared" si="39"/>
        <v>0.85</v>
      </c>
      <c r="L257">
        <v>1</v>
      </c>
      <c r="M257">
        <f t="shared" si="37"/>
        <v>1.7356625038034827</v>
      </c>
      <c r="N257">
        <f t="shared" si="40"/>
        <v>13.431309481749691</v>
      </c>
      <c r="O257">
        <f t="shared" si="41"/>
        <v>1.7801666705676746</v>
      </c>
      <c r="P257">
        <f t="shared" si="42"/>
        <v>1.7801666705676746</v>
      </c>
      <c r="Q257">
        <f t="shared" si="43"/>
        <v>48.286130855812885</v>
      </c>
    </row>
    <row r="258" spans="1:17" x14ac:dyDescent="0.6">
      <c r="A258">
        <v>257</v>
      </c>
      <c r="B258" s="1" t="s">
        <v>30</v>
      </c>
      <c r="C258" t="s">
        <v>7</v>
      </c>
      <c r="D258">
        <v>100</v>
      </c>
      <c r="F258">
        <v>53.5</v>
      </c>
      <c r="G258">
        <v>26.1</v>
      </c>
      <c r="H258">
        <f t="shared" si="46"/>
        <v>507</v>
      </c>
      <c r="I258">
        <v>126</v>
      </c>
      <c r="J258">
        <f t="shared" si="38"/>
        <v>0.56121353326631374</v>
      </c>
      <c r="K258">
        <f t="shared" si="39"/>
        <v>0.85</v>
      </c>
      <c r="L258">
        <v>1</v>
      </c>
      <c r="M258">
        <f t="shared" ref="M258:M321" si="47">0.19*(1+2/L258)*K258*0.65*(G258)^0.5</f>
        <v>1.6088938503868115</v>
      </c>
      <c r="N258">
        <f t="shared" si="40"/>
        <v>12.450318642290526</v>
      </c>
      <c r="O258">
        <f t="shared" si="41"/>
        <v>1.6501475388582683</v>
      </c>
      <c r="P258">
        <f t="shared" si="42"/>
        <v>1.6501475388582683</v>
      </c>
      <c r="Q258">
        <f t="shared" si="43"/>
        <v>44.75942691776109</v>
      </c>
    </row>
    <row r="259" spans="1:17" x14ac:dyDescent="0.6">
      <c r="A259">
        <v>258</v>
      </c>
      <c r="B259" s="2" t="s">
        <v>70</v>
      </c>
      <c r="C259" t="s">
        <v>7</v>
      </c>
      <c r="D259">
        <v>200</v>
      </c>
      <c r="F259">
        <v>77</v>
      </c>
      <c r="G259">
        <v>24.15</v>
      </c>
      <c r="H259">
        <f t="shared" si="46"/>
        <v>954</v>
      </c>
      <c r="I259">
        <v>194</v>
      </c>
      <c r="J259">
        <f t="shared" ref="J259:J322" si="48">(2/(1+F259/10))^0.5</f>
        <v>0.47946330148538419</v>
      </c>
      <c r="K259">
        <f t="shared" ref="K259:K322" si="49">IF(G259&lt;24, 0.75, IF(G259&lt;35, 0.85, 1))</f>
        <v>0.85</v>
      </c>
      <c r="L259">
        <v>1</v>
      </c>
      <c r="M259">
        <f t="shared" si="47"/>
        <v>1.5476248894172484</v>
      </c>
      <c r="N259">
        <f t="shared" ref="N259:N322" si="50">(40*F259/H259+0.19)*K259*0.65*(G259)^0.5</f>
        <v>9.2817079459724425</v>
      </c>
      <c r="O259">
        <f t="shared" ref="O259:O322" si="51">0.38*K259*(G259)^0.5</f>
        <v>1.5873075788894855</v>
      </c>
      <c r="P259">
        <f t="shared" ref="P259:P322" si="52">O259</f>
        <v>1.5873075788894855</v>
      </c>
      <c r="Q259">
        <f t="shared" ref="Q259:Q322" si="53">P259*H259*F259/1000</f>
        <v>116.60044013006382</v>
      </c>
    </row>
    <row r="260" spans="1:17" x14ac:dyDescent="0.6">
      <c r="A260">
        <v>259</v>
      </c>
      <c r="B260" s="2" t="s">
        <v>70</v>
      </c>
      <c r="C260" t="s">
        <v>7</v>
      </c>
      <c r="D260">
        <v>200</v>
      </c>
      <c r="F260">
        <v>77</v>
      </c>
      <c r="G260">
        <v>21.975000000000001</v>
      </c>
      <c r="H260">
        <f t="shared" si="46"/>
        <v>954</v>
      </c>
      <c r="I260">
        <v>176</v>
      </c>
      <c r="J260">
        <f t="shared" si="48"/>
        <v>0.47946330148538419</v>
      </c>
      <c r="K260">
        <f t="shared" si="49"/>
        <v>0.75</v>
      </c>
      <c r="L260">
        <v>1</v>
      </c>
      <c r="M260">
        <f t="shared" si="47"/>
        <v>1.3026085293975991</v>
      </c>
      <c r="N260">
        <f t="shared" si="50"/>
        <v>7.8122496093699905</v>
      </c>
      <c r="O260">
        <f t="shared" si="51"/>
        <v>1.3360087481001015</v>
      </c>
      <c r="P260">
        <f t="shared" si="52"/>
        <v>1.3360087481001015</v>
      </c>
      <c r="Q260">
        <f t="shared" si="53"/>
        <v>98.140530617937259</v>
      </c>
    </row>
    <row r="261" spans="1:17" x14ac:dyDescent="0.6">
      <c r="A261">
        <v>260</v>
      </c>
      <c r="B261" s="2" t="s">
        <v>70</v>
      </c>
      <c r="C261" t="s">
        <v>7</v>
      </c>
      <c r="D261">
        <v>200</v>
      </c>
      <c r="F261">
        <v>77</v>
      </c>
      <c r="G261">
        <v>25.725000000000001</v>
      </c>
      <c r="H261">
        <f t="shared" si="46"/>
        <v>954</v>
      </c>
      <c r="I261">
        <v>194</v>
      </c>
      <c r="J261">
        <f t="shared" si="48"/>
        <v>0.47946330148538419</v>
      </c>
      <c r="K261">
        <f t="shared" si="49"/>
        <v>0.85</v>
      </c>
      <c r="L261">
        <v>1</v>
      </c>
      <c r="M261">
        <f t="shared" si="47"/>
        <v>1.5972938876277982</v>
      </c>
      <c r="N261">
        <f t="shared" si="50"/>
        <v>9.5795922320884053</v>
      </c>
      <c r="O261">
        <f t="shared" si="51"/>
        <v>1.6382501411567161</v>
      </c>
      <c r="P261">
        <f t="shared" si="52"/>
        <v>1.6382501411567161</v>
      </c>
      <c r="Q261">
        <f t="shared" si="53"/>
        <v>120.34257886909005</v>
      </c>
    </row>
    <row r="262" spans="1:17" x14ac:dyDescent="0.6">
      <c r="A262">
        <v>261</v>
      </c>
      <c r="B262" s="2" t="s">
        <v>70</v>
      </c>
      <c r="C262" t="s">
        <v>7</v>
      </c>
      <c r="D262">
        <v>200</v>
      </c>
      <c r="F262">
        <v>77</v>
      </c>
      <c r="G262">
        <v>30.3</v>
      </c>
      <c r="H262">
        <f t="shared" si="46"/>
        <v>954</v>
      </c>
      <c r="I262">
        <v>194</v>
      </c>
      <c r="J262">
        <f t="shared" si="48"/>
        <v>0.47946330148538419</v>
      </c>
      <c r="K262">
        <f t="shared" si="49"/>
        <v>0.85</v>
      </c>
      <c r="L262">
        <v>1</v>
      </c>
      <c r="M262">
        <f t="shared" si="47"/>
        <v>1.733518386241548</v>
      </c>
      <c r="N262">
        <f t="shared" si="50"/>
        <v>10.396583493902149</v>
      </c>
      <c r="O262">
        <f t="shared" si="51"/>
        <v>1.777967575632357</v>
      </c>
      <c r="P262">
        <f t="shared" si="52"/>
        <v>1.777967575632357</v>
      </c>
      <c r="Q262">
        <f t="shared" si="53"/>
        <v>130.60594217080168</v>
      </c>
    </row>
    <row r="263" spans="1:17" x14ac:dyDescent="0.6">
      <c r="A263">
        <v>262</v>
      </c>
      <c r="B263" s="2" t="s">
        <v>70</v>
      </c>
      <c r="C263" t="s">
        <v>7</v>
      </c>
      <c r="D263">
        <v>200</v>
      </c>
      <c r="F263">
        <v>79</v>
      </c>
      <c r="G263">
        <v>26.4</v>
      </c>
      <c r="H263">
        <f t="shared" si="46"/>
        <v>958</v>
      </c>
      <c r="I263">
        <v>165</v>
      </c>
      <c r="J263">
        <f t="shared" si="48"/>
        <v>0.4740454631399772</v>
      </c>
      <c r="K263">
        <f t="shared" si="49"/>
        <v>0.85</v>
      </c>
      <c r="L263">
        <v>1</v>
      </c>
      <c r="M263">
        <f t="shared" si="47"/>
        <v>1.6181139479344464</v>
      </c>
      <c r="N263">
        <f t="shared" si="50"/>
        <v>9.9032508813607976</v>
      </c>
      <c r="O263">
        <f t="shared" si="51"/>
        <v>1.6596040491635347</v>
      </c>
      <c r="P263">
        <f t="shared" si="52"/>
        <v>1.6596040491635347</v>
      </c>
      <c r="Q263">
        <f t="shared" si="53"/>
        <v>125.60215364879463</v>
      </c>
    </row>
    <row r="264" spans="1:17" x14ac:dyDescent="0.6">
      <c r="A264">
        <v>263</v>
      </c>
      <c r="B264" s="2" t="s">
        <v>70</v>
      </c>
      <c r="C264" t="s">
        <v>7</v>
      </c>
      <c r="D264">
        <v>200</v>
      </c>
      <c r="F264">
        <v>79</v>
      </c>
      <c r="G264">
        <v>20.55</v>
      </c>
      <c r="H264">
        <f t="shared" si="46"/>
        <v>958</v>
      </c>
      <c r="I264">
        <v>165</v>
      </c>
      <c r="J264">
        <f t="shared" si="48"/>
        <v>0.4740454631399772</v>
      </c>
      <c r="K264">
        <f t="shared" si="49"/>
        <v>0.75</v>
      </c>
      <c r="L264">
        <v>1</v>
      </c>
      <c r="M264">
        <f t="shared" si="47"/>
        <v>1.2596659462308848</v>
      </c>
      <c r="N264">
        <f t="shared" si="50"/>
        <v>7.7094619375573039</v>
      </c>
      <c r="O264">
        <f t="shared" si="51"/>
        <v>1.2919650730573178</v>
      </c>
      <c r="P264">
        <f t="shared" si="52"/>
        <v>1.2919650730573178</v>
      </c>
      <c r="Q264">
        <f t="shared" si="53"/>
        <v>97.778500659123935</v>
      </c>
    </row>
    <row r="265" spans="1:17" x14ac:dyDescent="0.6">
      <c r="A265">
        <v>264</v>
      </c>
      <c r="B265" s="2" t="s">
        <v>70</v>
      </c>
      <c r="C265" t="s">
        <v>7</v>
      </c>
      <c r="D265">
        <v>200</v>
      </c>
      <c r="F265">
        <v>79</v>
      </c>
      <c r="G265">
        <v>28.5</v>
      </c>
      <c r="H265">
        <f t="shared" si="46"/>
        <v>958</v>
      </c>
      <c r="I265">
        <v>186</v>
      </c>
      <c r="J265">
        <f t="shared" si="48"/>
        <v>0.4740454631399772</v>
      </c>
      <c r="K265">
        <f t="shared" si="49"/>
        <v>0.85</v>
      </c>
      <c r="L265">
        <v>1</v>
      </c>
      <c r="M265">
        <f t="shared" si="47"/>
        <v>1.6812394342604804</v>
      </c>
      <c r="N265">
        <f t="shared" si="50"/>
        <v>10.289594209587243</v>
      </c>
      <c r="O265">
        <f t="shared" si="51"/>
        <v>1.7243481377030567</v>
      </c>
      <c r="P265">
        <f t="shared" si="52"/>
        <v>1.7243481377030567</v>
      </c>
      <c r="Q265">
        <f t="shared" si="53"/>
        <v>130.50211575764274</v>
      </c>
    </row>
    <row r="266" spans="1:17" x14ac:dyDescent="0.6">
      <c r="A266">
        <v>265</v>
      </c>
      <c r="B266" s="2" t="s">
        <v>70</v>
      </c>
      <c r="C266" t="s">
        <v>10</v>
      </c>
      <c r="D266">
        <v>250</v>
      </c>
      <c r="F266">
        <v>200</v>
      </c>
      <c r="G266">
        <v>32.700000000000003</v>
      </c>
      <c r="H266">
        <f t="shared" ref="H266:H277" si="54">PI()*(D266+F266)</f>
        <v>1413.7166941154069</v>
      </c>
      <c r="I266">
        <v>825</v>
      </c>
      <c r="J266">
        <f t="shared" si="48"/>
        <v>0.30860669992418382</v>
      </c>
      <c r="K266">
        <f t="shared" si="49"/>
        <v>0.85</v>
      </c>
      <c r="L266">
        <v>1</v>
      </c>
      <c r="M266">
        <f t="shared" si="47"/>
        <v>1.8008644060388057</v>
      </c>
      <c r="N266">
        <f t="shared" si="50"/>
        <v>18.478898478228206</v>
      </c>
      <c r="O266">
        <f t="shared" si="51"/>
        <v>1.8470404164500571</v>
      </c>
      <c r="P266">
        <f t="shared" si="52"/>
        <v>1.8470404164500571</v>
      </c>
      <c r="Q266">
        <f t="shared" si="53"/>
        <v>522.2383742882638</v>
      </c>
    </row>
    <row r="267" spans="1:17" x14ac:dyDescent="0.6">
      <c r="A267">
        <v>266</v>
      </c>
      <c r="B267" s="2" t="s">
        <v>70</v>
      </c>
      <c r="C267" t="s">
        <v>10</v>
      </c>
      <c r="D267">
        <v>160</v>
      </c>
      <c r="F267">
        <v>128</v>
      </c>
      <c r="G267">
        <v>31.2</v>
      </c>
      <c r="H267">
        <f t="shared" si="54"/>
        <v>904.77868423386042</v>
      </c>
      <c r="I267">
        <v>390</v>
      </c>
      <c r="J267">
        <f t="shared" si="48"/>
        <v>0.38069349381344053</v>
      </c>
      <c r="K267">
        <f t="shared" si="49"/>
        <v>0.85</v>
      </c>
      <c r="L267">
        <v>1</v>
      </c>
      <c r="M267">
        <f t="shared" si="47"/>
        <v>1.7590753183135734</v>
      </c>
      <c r="N267">
        <f t="shared" si="50"/>
        <v>18.050095339589408</v>
      </c>
      <c r="O267">
        <f t="shared" si="51"/>
        <v>1.8041798136549472</v>
      </c>
      <c r="P267">
        <f t="shared" si="52"/>
        <v>1.8041798136549472</v>
      </c>
      <c r="Q267">
        <f t="shared" si="53"/>
        <v>208.94508005376187</v>
      </c>
    </row>
    <row r="268" spans="1:17" x14ac:dyDescent="0.6">
      <c r="A268">
        <v>267</v>
      </c>
      <c r="B268" s="2" t="s">
        <v>70</v>
      </c>
      <c r="C268" t="s">
        <v>10</v>
      </c>
      <c r="D268">
        <v>160</v>
      </c>
      <c r="F268">
        <v>128</v>
      </c>
      <c r="G268">
        <v>32.174999999999997</v>
      </c>
      <c r="H268">
        <f t="shared" si="54"/>
        <v>904.77868423386042</v>
      </c>
      <c r="I268">
        <v>365</v>
      </c>
      <c r="J268">
        <f t="shared" si="48"/>
        <v>0.38069349381344053</v>
      </c>
      <c r="K268">
        <f t="shared" si="49"/>
        <v>0.85</v>
      </c>
      <c r="L268">
        <v>1</v>
      </c>
      <c r="M268">
        <f t="shared" si="47"/>
        <v>1.7863494303283372</v>
      </c>
      <c r="N268">
        <f t="shared" si="50"/>
        <v>18.329958468270611</v>
      </c>
      <c r="O268">
        <f t="shared" si="51"/>
        <v>1.8321532618752174</v>
      </c>
      <c r="P268">
        <f t="shared" si="52"/>
        <v>1.8321532618752174</v>
      </c>
      <c r="Q268">
        <f t="shared" si="53"/>
        <v>212.18473185206204</v>
      </c>
    </row>
    <row r="269" spans="1:17" x14ac:dyDescent="0.6">
      <c r="A269">
        <v>268</v>
      </c>
      <c r="B269" s="2" t="s">
        <v>70</v>
      </c>
      <c r="C269" t="s">
        <v>10</v>
      </c>
      <c r="D269">
        <v>80</v>
      </c>
      <c r="F269">
        <v>64</v>
      </c>
      <c r="G269">
        <v>31.2</v>
      </c>
      <c r="H269">
        <f t="shared" si="54"/>
        <v>452.38934211693021</v>
      </c>
      <c r="I269">
        <v>117</v>
      </c>
      <c r="J269">
        <f t="shared" si="48"/>
        <v>0.51987524491003634</v>
      </c>
      <c r="K269">
        <f t="shared" si="49"/>
        <v>0.85</v>
      </c>
      <c r="L269">
        <v>1</v>
      </c>
      <c r="M269">
        <f t="shared" si="47"/>
        <v>1.7590753183135734</v>
      </c>
      <c r="N269">
        <f t="shared" si="50"/>
        <v>18.050095339589408</v>
      </c>
      <c r="O269">
        <f t="shared" si="51"/>
        <v>1.8041798136549472</v>
      </c>
      <c r="P269">
        <f t="shared" si="52"/>
        <v>1.8041798136549472</v>
      </c>
      <c r="Q269">
        <f t="shared" si="53"/>
        <v>52.236270013440468</v>
      </c>
    </row>
    <row r="270" spans="1:17" x14ac:dyDescent="0.6">
      <c r="A270">
        <v>269</v>
      </c>
      <c r="B270" s="2" t="s">
        <v>70</v>
      </c>
      <c r="C270" t="s">
        <v>10</v>
      </c>
      <c r="D270">
        <v>80</v>
      </c>
      <c r="F270">
        <v>64</v>
      </c>
      <c r="G270">
        <v>32.174999999999997</v>
      </c>
      <c r="H270">
        <f t="shared" si="54"/>
        <v>452.38934211693021</v>
      </c>
      <c r="I270">
        <v>105</v>
      </c>
      <c r="J270">
        <f t="shared" si="48"/>
        <v>0.51987524491003634</v>
      </c>
      <c r="K270">
        <f t="shared" si="49"/>
        <v>0.85</v>
      </c>
      <c r="L270">
        <v>1</v>
      </c>
      <c r="M270">
        <f t="shared" si="47"/>
        <v>1.7863494303283372</v>
      </c>
      <c r="N270">
        <f t="shared" si="50"/>
        <v>18.329958468270611</v>
      </c>
      <c r="O270">
        <f t="shared" si="51"/>
        <v>1.8321532618752174</v>
      </c>
      <c r="P270">
        <f t="shared" si="52"/>
        <v>1.8321532618752174</v>
      </c>
      <c r="Q270">
        <f t="shared" si="53"/>
        <v>53.046182963015511</v>
      </c>
    </row>
    <row r="271" spans="1:17" x14ac:dyDescent="0.6">
      <c r="A271">
        <v>270</v>
      </c>
      <c r="B271" s="2" t="s">
        <v>70</v>
      </c>
      <c r="C271" t="s">
        <v>10</v>
      </c>
      <c r="D271">
        <v>80</v>
      </c>
      <c r="F271">
        <v>64</v>
      </c>
      <c r="G271">
        <v>33.9</v>
      </c>
      <c r="H271">
        <f t="shared" si="54"/>
        <v>452.38934211693021</v>
      </c>
      <c r="I271">
        <v>105</v>
      </c>
      <c r="J271">
        <f t="shared" si="48"/>
        <v>0.51987524491003634</v>
      </c>
      <c r="K271">
        <f t="shared" si="49"/>
        <v>0.85</v>
      </c>
      <c r="L271">
        <v>1</v>
      </c>
      <c r="M271">
        <f t="shared" si="47"/>
        <v>1.8336100773303741</v>
      </c>
      <c r="N271">
        <f t="shared" si="50"/>
        <v>18.814905971834744</v>
      </c>
      <c r="O271">
        <f t="shared" si="51"/>
        <v>1.880625720338845</v>
      </c>
      <c r="P271">
        <f t="shared" si="52"/>
        <v>1.880625720338845</v>
      </c>
      <c r="Q271">
        <f t="shared" si="53"/>
        <v>54.449602073105154</v>
      </c>
    </row>
    <row r="272" spans="1:17" x14ac:dyDescent="0.6">
      <c r="A272">
        <v>271</v>
      </c>
      <c r="B272" s="2" t="s">
        <v>70</v>
      </c>
      <c r="C272" t="s">
        <v>10</v>
      </c>
      <c r="D272">
        <v>150</v>
      </c>
      <c r="F272">
        <v>95</v>
      </c>
      <c r="G272">
        <v>21.75</v>
      </c>
      <c r="H272">
        <f t="shared" si="54"/>
        <v>769.69020012949932</v>
      </c>
      <c r="I272">
        <v>197</v>
      </c>
      <c r="J272">
        <f t="shared" si="48"/>
        <v>0.43643578047198472</v>
      </c>
      <c r="K272">
        <f t="shared" si="49"/>
        <v>0.75</v>
      </c>
      <c r="L272">
        <v>1</v>
      </c>
      <c r="M272">
        <f t="shared" si="47"/>
        <v>1.2959227271885274</v>
      </c>
      <c r="N272">
        <f t="shared" si="50"/>
        <v>11.656600522515028</v>
      </c>
      <c r="O272">
        <f t="shared" si="51"/>
        <v>1.3291515150651563</v>
      </c>
      <c r="P272">
        <f t="shared" si="52"/>
        <v>1.3291515150651563</v>
      </c>
      <c r="Q272">
        <f t="shared" si="53"/>
        <v>97.188315085128096</v>
      </c>
    </row>
    <row r="273" spans="1:17" x14ac:dyDescent="0.6">
      <c r="A273">
        <v>272</v>
      </c>
      <c r="B273" s="2" t="s">
        <v>70</v>
      </c>
      <c r="C273" t="s">
        <v>10</v>
      </c>
      <c r="D273">
        <v>150</v>
      </c>
      <c r="F273">
        <v>95</v>
      </c>
      <c r="G273">
        <v>8.9250000000000007</v>
      </c>
      <c r="H273">
        <f t="shared" si="54"/>
        <v>769.69020012949932</v>
      </c>
      <c r="I273">
        <v>123</v>
      </c>
      <c r="J273">
        <f t="shared" si="48"/>
        <v>0.43643578047198472</v>
      </c>
      <c r="K273">
        <f t="shared" si="49"/>
        <v>0.75</v>
      </c>
      <c r="L273">
        <v>1</v>
      </c>
      <c r="M273">
        <f t="shared" si="47"/>
        <v>0.83014429586254768</v>
      </c>
      <c r="N273">
        <f t="shared" si="50"/>
        <v>7.467004189291071</v>
      </c>
      <c r="O273">
        <f t="shared" si="51"/>
        <v>0.85143004703851044</v>
      </c>
      <c r="P273">
        <f t="shared" si="52"/>
        <v>0.85143004703851044</v>
      </c>
      <c r="Q273">
        <f t="shared" si="53"/>
        <v>62.257049513627308</v>
      </c>
    </row>
    <row r="274" spans="1:17" x14ac:dyDescent="0.6">
      <c r="A274">
        <v>273</v>
      </c>
      <c r="B274" s="2" t="s">
        <v>70</v>
      </c>
      <c r="C274" t="s">
        <v>10</v>
      </c>
      <c r="D274">
        <v>150</v>
      </c>
      <c r="F274">
        <v>95</v>
      </c>
      <c r="G274">
        <v>35.475000000000001</v>
      </c>
      <c r="H274">
        <f t="shared" si="54"/>
        <v>769.69020012949932</v>
      </c>
      <c r="I274">
        <v>214</v>
      </c>
      <c r="J274">
        <f t="shared" si="48"/>
        <v>0.43643578047198472</v>
      </c>
      <c r="K274">
        <f t="shared" si="49"/>
        <v>1</v>
      </c>
      <c r="L274">
        <v>1</v>
      </c>
      <c r="M274">
        <f t="shared" si="47"/>
        <v>2.2067310934388904</v>
      </c>
      <c r="N274">
        <f t="shared" si="50"/>
        <v>19.849164056745348</v>
      </c>
      <c r="O274">
        <f t="shared" si="51"/>
        <v>2.263313941988605</v>
      </c>
      <c r="P274">
        <f t="shared" si="52"/>
        <v>2.263313941988605</v>
      </c>
      <c r="Q274">
        <f t="shared" si="53"/>
        <v>165.49480329168406</v>
      </c>
    </row>
    <row r="275" spans="1:17" x14ac:dyDescent="0.6">
      <c r="A275">
        <v>274</v>
      </c>
      <c r="B275" s="2" t="s">
        <v>70</v>
      </c>
      <c r="C275" t="s">
        <v>10</v>
      </c>
      <c r="D275">
        <v>150</v>
      </c>
      <c r="F275">
        <v>93</v>
      </c>
      <c r="G275">
        <v>11.175000000000001</v>
      </c>
      <c r="H275">
        <f t="shared" si="54"/>
        <v>763.40701482231975</v>
      </c>
      <c r="I275">
        <v>154</v>
      </c>
      <c r="J275">
        <f t="shared" si="48"/>
        <v>0.44065264923923175</v>
      </c>
      <c r="K275">
        <f t="shared" si="49"/>
        <v>0.75</v>
      </c>
      <c r="L275">
        <v>1</v>
      </c>
      <c r="M275">
        <f t="shared" si="47"/>
        <v>0.9289091516985799</v>
      </c>
      <c r="N275">
        <f t="shared" si="50"/>
        <v>8.2508189326714145</v>
      </c>
      <c r="O275">
        <f t="shared" si="51"/>
        <v>0.95272733507546647</v>
      </c>
      <c r="P275">
        <f t="shared" si="52"/>
        <v>0.95272733507546647</v>
      </c>
      <c r="Q275">
        <f t="shared" si="53"/>
        <v>67.640641965291493</v>
      </c>
    </row>
    <row r="276" spans="1:17" x14ac:dyDescent="0.6">
      <c r="A276">
        <v>275</v>
      </c>
      <c r="B276" s="2" t="s">
        <v>70</v>
      </c>
      <c r="C276" t="s">
        <v>10</v>
      </c>
      <c r="D276">
        <v>150</v>
      </c>
      <c r="F276">
        <v>93</v>
      </c>
      <c r="G276">
        <v>25.125</v>
      </c>
      <c r="H276">
        <f t="shared" si="54"/>
        <v>763.40701482231975</v>
      </c>
      <c r="I276">
        <v>214</v>
      </c>
      <c r="J276">
        <f t="shared" si="48"/>
        <v>0.44065264923923175</v>
      </c>
      <c r="K276">
        <f t="shared" si="49"/>
        <v>0.85</v>
      </c>
      <c r="L276">
        <v>1</v>
      </c>
      <c r="M276">
        <f t="shared" si="47"/>
        <v>1.578556654060324</v>
      </c>
      <c r="N276">
        <f t="shared" si="50"/>
        <v>14.021161384619045</v>
      </c>
      <c r="O276">
        <f t="shared" si="51"/>
        <v>1.6190324657028963</v>
      </c>
      <c r="P276">
        <f t="shared" si="52"/>
        <v>1.6190324657028963</v>
      </c>
      <c r="Q276">
        <f t="shared" si="53"/>
        <v>114.94620896346811</v>
      </c>
    </row>
    <row r="277" spans="1:17" x14ac:dyDescent="0.6">
      <c r="A277">
        <v>276</v>
      </c>
      <c r="B277" s="2" t="s">
        <v>70</v>
      </c>
      <c r="C277" t="s">
        <v>10</v>
      </c>
      <c r="D277">
        <v>150</v>
      </c>
      <c r="F277">
        <v>93</v>
      </c>
      <c r="G277">
        <v>39.975000000000001</v>
      </c>
      <c r="H277">
        <f t="shared" si="54"/>
        <v>763.40701482231975</v>
      </c>
      <c r="I277">
        <v>248</v>
      </c>
      <c r="J277">
        <f t="shared" si="48"/>
        <v>0.44065264923923175</v>
      </c>
      <c r="K277">
        <f t="shared" si="49"/>
        <v>1</v>
      </c>
      <c r="L277">
        <v>1</v>
      </c>
      <c r="M277">
        <f t="shared" si="47"/>
        <v>2.3425153668119236</v>
      </c>
      <c r="N277">
        <f t="shared" si="50"/>
        <v>20.806846507242881</v>
      </c>
      <c r="O277">
        <f t="shared" si="51"/>
        <v>2.4025798633968445</v>
      </c>
      <c r="P277">
        <f t="shared" si="52"/>
        <v>2.4025798633968445</v>
      </c>
      <c r="Q277">
        <f t="shared" si="53"/>
        <v>170.57560788908418</v>
      </c>
    </row>
    <row r="278" spans="1:17" x14ac:dyDescent="0.6">
      <c r="A278">
        <v>277</v>
      </c>
      <c r="B278" s="2" t="s">
        <v>70</v>
      </c>
      <c r="C278" t="s">
        <v>7</v>
      </c>
      <c r="D278">
        <v>160</v>
      </c>
      <c r="F278">
        <v>80</v>
      </c>
      <c r="G278">
        <v>24.524999999999999</v>
      </c>
      <c r="H278">
        <f t="shared" ref="H278:H281" si="55">4*D278+2*F278</f>
        <v>800</v>
      </c>
      <c r="I278">
        <v>190</v>
      </c>
      <c r="J278">
        <f t="shared" si="48"/>
        <v>0.47140452079103168</v>
      </c>
      <c r="K278">
        <f t="shared" si="49"/>
        <v>0.85</v>
      </c>
      <c r="L278">
        <v>1</v>
      </c>
      <c r="M278">
        <f t="shared" si="47"/>
        <v>1.5595943244007799</v>
      </c>
      <c r="N278">
        <f t="shared" si="50"/>
        <v>11.464386349542576</v>
      </c>
      <c r="O278">
        <f t="shared" si="51"/>
        <v>1.5995839224623385</v>
      </c>
      <c r="P278">
        <f t="shared" si="52"/>
        <v>1.5995839224623385</v>
      </c>
      <c r="Q278">
        <f t="shared" si="53"/>
        <v>102.37337103758966</v>
      </c>
    </row>
    <row r="279" spans="1:17" x14ac:dyDescent="0.6">
      <c r="A279">
        <v>278</v>
      </c>
      <c r="B279" s="2" t="s">
        <v>70</v>
      </c>
      <c r="C279" t="s">
        <v>7</v>
      </c>
      <c r="D279">
        <v>160</v>
      </c>
      <c r="F279">
        <v>80</v>
      </c>
      <c r="G279">
        <v>31.875</v>
      </c>
      <c r="H279">
        <f t="shared" si="55"/>
        <v>800</v>
      </c>
      <c r="I279">
        <v>236</v>
      </c>
      <c r="J279">
        <f t="shared" si="48"/>
        <v>0.47140452079103168</v>
      </c>
      <c r="K279">
        <f t="shared" si="49"/>
        <v>0.85</v>
      </c>
      <c r="L279">
        <v>1</v>
      </c>
      <c r="M279">
        <f t="shared" si="47"/>
        <v>1.778001957408055</v>
      </c>
      <c r="N279">
        <f t="shared" si="50"/>
        <v>13.069874037789035</v>
      </c>
      <c r="O279">
        <f t="shared" si="51"/>
        <v>1.8235917511877486</v>
      </c>
      <c r="P279">
        <f t="shared" si="52"/>
        <v>1.8235917511877486</v>
      </c>
      <c r="Q279">
        <f t="shared" si="53"/>
        <v>116.7098720760159</v>
      </c>
    </row>
    <row r="280" spans="1:17" x14ac:dyDescent="0.6">
      <c r="A280">
        <v>279</v>
      </c>
      <c r="B280" s="2" t="s">
        <v>70</v>
      </c>
      <c r="C280" t="s">
        <v>7</v>
      </c>
      <c r="D280">
        <v>160</v>
      </c>
      <c r="F280">
        <v>80</v>
      </c>
      <c r="G280">
        <v>26.55</v>
      </c>
      <c r="H280">
        <f t="shared" si="55"/>
        <v>800</v>
      </c>
      <c r="I280">
        <v>248</v>
      </c>
      <c r="J280">
        <f t="shared" si="48"/>
        <v>0.47140452079103168</v>
      </c>
      <c r="K280">
        <f t="shared" si="49"/>
        <v>0.85</v>
      </c>
      <c r="L280">
        <v>1</v>
      </c>
      <c r="M280">
        <f t="shared" si="47"/>
        <v>1.6227043513356803</v>
      </c>
      <c r="N280">
        <f t="shared" si="50"/>
        <v>11.928300407186841</v>
      </c>
      <c r="O280">
        <f t="shared" si="51"/>
        <v>1.6643121552160822</v>
      </c>
      <c r="P280">
        <f t="shared" si="52"/>
        <v>1.6643121552160822</v>
      </c>
      <c r="Q280">
        <f t="shared" si="53"/>
        <v>106.51597793382926</v>
      </c>
    </row>
    <row r="281" spans="1:17" x14ac:dyDescent="0.6">
      <c r="A281">
        <v>280</v>
      </c>
      <c r="B281" s="2" t="s">
        <v>70</v>
      </c>
      <c r="C281" t="s">
        <v>7</v>
      </c>
      <c r="D281">
        <v>160</v>
      </c>
      <c r="F281">
        <v>80</v>
      </c>
      <c r="G281">
        <v>29.324999999999999</v>
      </c>
      <c r="H281">
        <f t="shared" si="55"/>
        <v>800</v>
      </c>
      <c r="I281">
        <v>262</v>
      </c>
      <c r="J281">
        <f t="shared" si="48"/>
        <v>0.47140452079103168</v>
      </c>
      <c r="K281">
        <f t="shared" si="49"/>
        <v>0.85</v>
      </c>
      <c r="L281">
        <v>1</v>
      </c>
      <c r="M281">
        <f t="shared" si="47"/>
        <v>1.7053995671698539</v>
      </c>
      <c r="N281">
        <f t="shared" si="50"/>
        <v>12.53618278323103</v>
      </c>
      <c r="O281">
        <f t="shared" si="51"/>
        <v>1.7491277611998501</v>
      </c>
      <c r="P281">
        <f t="shared" si="52"/>
        <v>1.7491277611998501</v>
      </c>
      <c r="Q281">
        <f t="shared" si="53"/>
        <v>111.94417671679041</v>
      </c>
    </row>
    <row r="282" spans="1:17" x14ac:dyDescent="0.6">
      <c r="A282">
        <v>281</v>
      </c>
      <c r="B282" s="2" t="s">
        <v>70</v>
      </c>
      <c r="C282" t="s">
        <v>10</v>
      </c>
      <c r="D282">
        <v>54</v>
      </c>
      <c r="F282">
        <v>118</v>
      </c>
      <c r="G282">
        <v>32.174999999999997</v>
      </c>
      <c r="H282">
        <f t="shared" ref="H282:H284" si="56">PI()*(D282+F282)</f>
        <v>540.3539364174444</v>
      </c>
      <c r="I282">
        <v>170</v>
      </c>
      <c r="J282">
        <f t="shared" si="48"/>
        <v>0.39528470752104744</v>
      </c>
      <c r="K282">
        <f t="shared" si="49"/>
        <v>0.85</v>
      </c>
      <c r="L282">
        <v>1</v>
      </c>
      <c r="M282">
        <f t="shared" si="47"/>
        <v>1.7863494303283372</v>
      </c>
      <c r="N282">
        <f t="shared" si="50"/>
        <v>27.970519860933795</v>
      </c>
      <c r="O282">
        <f t="shared" si="51"/>
        <v>1.8321532618752174</v>
      </c>
      <c r="P282">
        <f t="shared" si="52"/>
        <v>1.8321532618752174</v>
      </c>
      <c r="Q282">
        <f t="shared" si="53"/>
        <v>116.82132480657148</v>
      </c>
    </row>
    <row r="283" spans="1:17" x14ac:dyDescent="0.6">
      <c r="A283">
        <v>282</v>
      </c>
      <c r="B283" s="2" t="s">
        <v>70</v>
      </c>
      <c r="C283" t="s">
        <v>10</v>
      </c>
      <c r="D283">
        <v>170</v>
      </c>
      <c r="F283">
        <v>118</v>
      </c>
      <c r="G283">
        <v>30.15</v>
      </c>
      <c r="H283">
        <f t="shared" si="56"/>
        <v>904.77868423386042</v>
      </c>
      <c r="I283">
        <v>280</v>
      </c>
      <c r="J283">
        <f t="shared" si="48"/>
        <v>0.39528470752104744</v>
      </c>
      <c r="K283">
        <f t="shared" si="49"/>
        <v>0.85</v>
      </c>
      <c r="L283">
        <v>1</v>
      </c>
      <c r="M283">
        <f t="shared" si="47"/>
        <v>1.7292221754574368</v>
      </c>
      <c r="N283">
        <f t="shared" si="50"/>
        <v>16.402568365271524</v>
      </c>
      <c r="O283">
        <f t="shared" si="51"/>
        <v>1.7735612055973711</v>
      </c>
      <c r="P283">
        <f t="shared" si="52"/>
        <v>1.7735612055973711</v>
      </c>
      <c r="Q283">
        <f t="shared" si="53"/>
        <v>189.35228413301581</v>
      </c>
    </row>
    <row r="284" spans="1:17" x14ac:dyDescent="0.6">
      <c r="A284">
        <v>283</v>
      </c>
      <c r="B284" s="2" t="s">
        <v>70</v>
      </c>
      <c r="C284" t="s">
        <v>10</v>
      </c>
      <c r="D284">
        <v>110</v>
      </c>
      <c r="F284">
        <v>118</v>
      </c>
      <c r="G284">
        <v>30.375</v>
      </c>
      <c r="H284">
        <f t="shared" si="56"/>
        <v>716.28312501847279</v>
      </c>
      <c r="I284">
        <v>265</v>
      </c>
      <c r="J284">
        <f t="shared" si="48"/>
        <v>0.39528470752104744</v>
      </c>
      <c r="K284">
        <f t="shared" si="49"/>
        <v>0.85</v>
      </c>
      <c r="L284">
        <v>1</v>
      </c>
      <c r="M284">
        <f t="shared" si="47"/>
        <v>1.7356625038034827</v>
      </c>
      <c r="N284">
        <f t="shared" si="50"/>
        <v>20.643948755998778</v>
      </c>
      <c r="O284">
        <f t="shared" si="51"/>
        <v>1.7801666705676746</v>
      </c>
      <c r="P284">
        <f t="shared" si="52"/>
        <v>1.7801666705676746</v>
      </c>
      <c r="Q284">
        <f t="shared" si="53"/>
        <v>150.46219481005741</v>
      </c>
    </row>
    <row r="285" spans="1:17" x14ac:dyDescent="0.6">
      <c r="A285">
        <v>284</v>
      </c>
      <c r="B285" s="2" t="s">
        <v>70</v>
      </c>
      <c r="C285" t="s">
        <v>7</v>
      </c>
      <c r="D285">
        <v>102</v>
      </c>
      <c r="F285">
        <v>118</v>
      </c>
      <c r="G285">
        <v>33.975000000000001</v>
      </c>
      <c r="H285">
        <f>4*D285+2*F285</f>
        <v>644</v>
      </c>
      <c r="I285">
        <v>285</v>
      </c>
      <c r="J285">
        <f t="shared" si="48"/>
        <v>0.39528470752104744</v>
      </c>
      <c r="K285">
        <f t="shared" si="49"/>
        <v>0.85</v>
      </c>
      <c r="L285">
        <v>1</v>
      </c>
      <c r="M285">
        <f t="shared" si="47"/>
        <v>1.8356372864374311</v>
      </c>
      <c r="N285">
        <f t="shared" si="50"/>
        <v>24.214930179669715</v>
      </c>
      <c r="O285">
        <f t="shared" si="51"/>
        <v>1.8827049091665962</v>
      </c>
      <c r="P285">
        <f t="shared" si="52"/>
        <v>1.8827049091665962</v>
      </c>
      <c r="Q285">
        <f t="shared" si="53"/>
        <v>143.07051145738797</v>
      </c>
    </row>
    <row r="286" spans="1:17" x14ac:dyDescent="0.6">
      <c r="A286">
        <v>285</v>
      </c>
      <c r="B286" s="2" t="s">
        <v>70</v>
      </c>
      <c r="C286" t="s">
        <v>10</v>
      </c>
      <c r="D286">
        <v>150</v>
      </c>
      <c r="F286">
        <v>118</v>
      </c>
      <c r="G286">
        <v>30.824999999999999</v>
      </c>
      <c r="H286">
        <f>PI()*(D286+F286)</f>
        <v>841.94683116206454</v>
      </c>
      <c r="I286">
        <v>285</v>
      </c>
      <c r="J286">
        <f t="shared" si="48"/>
        <v>0.39528470752104744</v>
      </c>
      <c r="K286">
        <f t="shared" si="49"/>
        <v>0.85</v>
      </c>
      <c r="L286">
        <v>1</v>
      </c>
      <c r="M286">
        <f t="shared" si="47"/>
        <v>1.7484719949546306</v>
      </c>
      <c r="N286">
        <f t="shared" si="50"/>
        <v>17.779367271878662</v>
      </c>
      <c r="O286">
        <f t="shared" si="51"/>
        <v>1.7933046102098775</v>
      </c>
      <c r="P286">
        <f t="shared" si="52"/>
        <v>1.7933046102098775</v>
      </c>
      <c r="Q286">
        <f t="shared" si="53"/>
        <v>178.16432179719428</v>
      </c>
    </row>
    <row r="287" spans="1:17" x14ac:dyDescent="0.6">
      <c r="A287">
        <v>286</v>
      </c>
      <c r="B287" s="2" t="s">
        <v>71</v>
      </c>
      <c r="C287" t="s">
        <v>7</v>
      </c>
      <c r="D287">
        <v>150</v>
      </c>
      <c r="F287">
        <v>75</v>
      </c>
      <c r="G287">
        <v>21.524999999999999</v>
      </c>
      <c r="H287">
        <f t="shared" ref="H287:H302" si="57">4*D287+2*F287</f>
        <v>750</v>
      </c>
      <c r="I287">
        <v>197</v>
      </c>
      <c r="J287">
        <f t="shared" si="48"/>
        <v>0.48507125007266594</v>
      </c>
      <c r="K287">
        <f t="shared" si="49"/>
        <v>0.75</v>
      </c>
      <c r="L287">
        <v>1</v>
      </c>
      <c r="M287">
        <f t="shared" si="47"/>
        <v>1.2892022528789366</v>
      </c>
      <c r="N287">
        <f t="shared" si="50"/>
        <v>9.4767674378293751</v>
      </c>
      <c r="O287">
        <f t="shared" si="51"/>
        <v>1.3222587209014733</v>
      </c>
      <c r="P287">
        <f t="shared" si="52"/>
        <v>1.3222587209014733</v>
      </c>
      <c r="Q287">
        <f t="shared" si="53"/>
        <v>74.377053050707886</v>
      </c>
    </row>
    <row r="288" spans="1:17" x14ac:dyDescent="0.6">
      <c r="A288">
        <v>287</v>
      </c>
      <c r="B288" s="2" t="s">
        <v>71</v>
      </c>
      <c r="C288" t="s">
        <v>7</v>
      </c>
      <c r="D288">
        <v>150</v>
      </c>
      <c r="F288">
        <v>75</v>
      </c>
      <c r="G288">
        <v>23.7</v>
      </c>
      <c r="H288">
        <f t="shared" si="57"/>
        <v>750</v>
      </c>
      <c r="I288">
        <v>227</v>
      </c>
      <c r="J288">
        <f t="shared" si="48"/>
        <v>0.48507125007266594</v>
      </c>
      <c r="K288">
        <f t="shared" si="49"/>
        <v>0.75</v>
      </c>
      <c r="L288">
        <v>1</v>
      </c>
      <c r="M288">
        <f t="shared" si="47"/>
        <v>1.3527690195715232</v>
      </c>
      <c r="N288">
        <f t="shared" si="50"/>
        <v>9.9440389333415471</v>
      </c>
      <c r="O288">
        <f t="shared" si="51"/>
        <v>1.3874554046887417</v>
      </c>
      <c r="P288">
        <f t="shared" si="52"/>
        <v>1.3874554046887417</v>
      </c>
      <c r="Q288">
        <f t="shared" si="53"/>
        <v>78.044366513741721</v>
      </c>
    </row>
    <row r="289" spans="1:17" x14ac:dyDescent="0.6">
      <c r="A289">
        <v>288</v>
      </c>
      <c r="B289" s="2" t="s">
        <v>71</v>
      </c>
      <c r="C289" t="s">
        <v>7</v>
      </c>
      <c r="D289">
        <v>150</v>
      </c>
      <c r="F289">
        <v>75</v>
      </c>
      <c r="G289">
        <v>27</v>
      </c>
      <c r="H289">
        <f t="shared" si="57"/>
        <v>750</v>
      </c>
      <c r="I289">
        <v>235</v>
      </c>
      <c r="J289">
        <f t="shared" si="48"/>
        <v>0.48507125007266594</v>
      </c>
      <c r="K289">
        <f t="shared" si="49"/>
        <v>0.85</v>
      </c>
      <c r="L289">
        <v>1</v>
      </c>
      <c r="M289">
        <f t="shared" si="47"/>
        <v>1.6363983017208861</v>
      </c>
      <c r="N289">
        <f t="shared" si="50"/>
        <v>12.028962954755286</v>
      </c>
      <c r="O289">
        <f t="shared" si="51"/>
        <v>1.6783572325342422</v>
      </c>
      <c r="P289">
        <f t="shared" si="52"/>
        <v>1.6783572325342422</v>
      </c>
      <c r="Q289">
        <f t="shared" si="53"/>
        <v>94.407594330051126</v>
      </c>
    </row>
    <row r="290" spans="1:17" x14ac:dyDescent="0.6">
      <c r="A290">
        <v>289</v>
      </c>
      <c r="B290" s="2" t="s">
        <v>71</v>
      </c>
      <c r="C290" t="s">
        <v>7</v>
      </c>
      <c r="D290">
        <v>100</v>
      </c>
      <c r="F290">
        <v>75</v>
      </c>
      <c r="G290">
        <v>26.4</v>
      </c>
      <c r="H290">
        <f t="shared" si="57"/>
        <v>550</v>
      </c>
      <c r="I290">
        <v>185</v>
      </c>
      <c r="J290">
        <f t="shared" si="48"/>
        <v>0.48507125007266594</v>
      </c>
      <c r="K290">
        <f t="shared" si="49"/>
        <v>0.85</v>
      </c>
      <c r="L290">
        <v>1</v>
      </c>
      <c r="M290">
        <f t="shared" si="47"/>
        <v>1.6181139479344464</v>
      </c>
      <c r="N290">
        <f t="shared" si="50"/>
        <v>16.023715315350842</v>
      </c>
      <c r="O290">
        <f t="shared" si="51"/>
        <v>1.6596040491635347</v>
      </c>
      <c r="P290">
        <f t="shared" si="52"/>
        <v>1.6596040491635347</v>
      </c>
      <c r="Q290">
        <f t="shared" si="53"/>
        <v>68.458667027995801</v>
      </c>
    </row>
    <row r="291" spans="1:17" x14ac:dyDescent="0.6">
      <c r="A291">
        <v>290</v>
      </c>
      <c r="B291" s="2" t="s">
        <v>71</v>
      </c>
      <c r="C291" t="s">
        <v>7</v>
      </c>
      <c r="D291">
        <v>200</v>
      </c>
      <c r="F291">
        <v>75</v>
      </c>
      <c r="G291">
        <v>26.4</v>
      </c>
      <c r="H291">
        <f t="shared" si="57"/>
        <v>950</v>
      </c>
      <c r="I291">
        <v>338</v>
      </c>
      <c r="J291">
        <f t="shared" si="48"/>
        <v>0.48507125007266594</v>
      </c>
      <c r="K291">
        <f t="shared" si="49"/>
        <v>0.85</v>
      </c>
      <c r="L291">
        <v>1</v>
      </c>
      <c r="M291">
        <f t="shared" si="47"/>
        <v>1.6181139479344464</v>
      </c>
      <c r="N291">
        <f t="shared" si="50"/>
        <v>9.5039915261412862</v>
      </c>
      <c r="O291">
        <f t="shared" si="51"/>
        <v>1.6596040491635347</v>
      </c>
      <c r="P291">
        <f t="shared" si="52"/>
        <v>1.6596040491635347</v>
      </c>
      <c r="Q291">
        <f t="shared" si="53"/>
        <v>118.24678850290184</v>
      </c>
    </row>
    <row r="292" spans="1:17" x14ac:dyDescent="0.6">
      <c r="A292">
        <v>291</v>
      </c>
      <c r="B292" s="2" t="s">
        <v>71</v>
      </c>
      <c r="C292" t="s">
        <v>7</v>
      </c>
      <c r="D292">
        <v>100</v>
      </c>
      <c r="F292">
        <v>75</v>
      </c>
      <c r="G292">
        <v>33.450000000000003</v>
      </c>
      <c r="H292">
        <f t="shared" si="57"/>
        <v>550</v>
      </c>
      <c r="I292">
        <v>172</v>
      </c>
      <c r="J292">
        <f t="shared" si="48"/>
        <v>0.48507125007266594</v>
      </c>
      <c r="K292">
        <f t="shared" si="49"/>
        <v>0.85</v>
      </c>
      <c r="L292">
        <v>1</v>
      </c>
      <c r="M292">
        <f t="shared" si="47"/>
        <v>1.8213994415438506</v>
      </c>
      <c r="N292">
        <f t="shared" si="50"/>
        <v>18.036792874873633</v>
      </c>
      <c r="O292">
        <f t="shared" si="51"/>
        <v>1.8681019913270263</v>
      </c>
      <c r="P292">
        <f t="shared" si="52"/>
        <v>1.8681019913270263</v>
      </c>
      <c r="Q292">
        <f t="shared" si="53"/>
        <v>77.059207142239828</v>
      </c>
    </row>
    <row r="293" spans="1:17" x14ac:dyDescent="0.6">
      <c r="A293">
        <v>292</v>
      </c>
      <c r="B293" s="2" t="s">
        <v>71</v>
      </c>
      <c r="C293" t="s">
        <v>7</v>
      </c>
      <c r="D293">
        <v>200</v>
      </c>
      <c r="F293">
        <v>75</v>
      </c>
      <c r="G293">
        <v>33.450000000000003</v>
      </c>
      <c r="H293">
        <f t="shared" si="57"/>
        <v>950</v>
      </c>
      <c r="I293">
        <v>284</v>
      </c>
      <c r="J293">
        <f t="shared" si="48"/>
        <v>0.48507125007266594</v>
      </c>
      <c r="K293">
        <f t="shared" si="49"/>
        <v>0.85</v>
      </c>
      <c r="L293">
        <v>1</v>
      </c>
      <c r="M293">
        <f t="shared" si="47"/>
        <v>1.8213994415438506</v>
      </c>
      <c r="N293">
        <f t="shared" si="50"/>
        <v>10.69798877900317</v>
      </c>
      <c r="O293">
        <f t="shared" si="51"/>
        <v>1.8681019913270263</v>
      </c>
      <c r="P293">
        <f t="shared" si="52"/>
        <v>1.8681019913270263</v>
      </c>
      <c r="Q293">
        <f t="shared" si="53"/>
        <v>133.10226688205063</v>
      </c>
    </row>
    <row r="294" spans="1:17" x14ac:dyDescent="0.6">
      <c r="A294">
        <v>293</v>
      </c>
      <c r="B294" s="2" t="s">
        <v>71</v>
      </c>
      <c r="C294" t="s">
        <v>7</v>
      </c>
      <c r="D294">
        <v>200</v>
      </c>
      <c r="F294">
        <v>75</v>
      </c>
      <c r="G294">
        <v>36.075000000000003</v>
      </c>
      <c r="H294">
        <f t="shared" si="57"/>
        <v>950</v>
      </c>
      <c r="I294">
        <v>421</v>
      </c>
      <c r="J294">
        <f t="shared" si="48"/>
        <v>0.48507125007266594</v>
      </c>
      <c r="K294">
        <f t="shared" si="49"/>
        <v>1</v>
      </c>
      <c r="L294">
        <v>1</v>
      </c>
      <c r="M294">
        <f t="shared" si="47"/>
        <v>2.2253144201999864</v>
      </c>
      <c r="N294">
        <f t="shared" si="50"/>
        <v>13.070383219660306</v>
      </c>
      <c r="O294">
        <f t="shared" si="51"/>
        <v>2.2823737643076778</v>
      </c>
      <c r="P294">
        <f t="shared" si="52"/>
        <v>2.2823737643076778</v>
      </c>
      <c r="Q294">
        <f t="shared" si="53"/>
        <v>162.61913070692205</v>
      </c>
    </row>
    <row r="295" spans="1:17" x14ac:dyDescent="0.6">
      <c r="A295">
        <v>294</v>
      </c>
      <c r="B295" s="2" t="s">
        <v>71</v>
      </c>
      <c r="C295" t="s">
        <v>7</v>
      </c>
      <c r="D295">
        <v>100</v>
      </c>
      <c r="F295">
        <v>75</v>
      </c>
      <c r="G295">
        <v>36.075000000000003</v>
      </c>
      <c r="H295">
        <f t="shared" si="57"/>
        <v>550</v>
      </c>
      <c r="I295">
        <v>182</v>
      </c>
      <c r="J295">
        <f t="shared" si="48"/>
        <v>0.48507125007266594</v>
      </c>
      <c r="K295">
        <f t="shared" si="49"/>
        <v>1</v>
      </c>
      <c r="L295">
        <v>1</v>
      </c>
      <c r="M295">
        <f t="shared" si="47"/>
        <v>2.2253144201999864</v>
      </c>
      <c r="N295">
        <f t="shared" si="50"/>
        <v>22.036646307849622</v>
      </c>
      <c r="O295">
        <f t="shared" si="51"/>
        <v>2.2823737643076778</v>
      </c>
      <c r="P295">
        <f t="shared" si="52"/>
        <v>2.2823737643076778</v>
      </c>
      <c r="Q295">
        <f t="shared" si="53"/>
        <v>94.147917777691703</v>
      </c>
    </row>
    <row r="296" spans="1:17" x14ac:dyDescent="0.6">
      <c r="A296">
        <v>295</v>
      </c>
      <c r="B296" s="2" t="s">
        <v>71</v>
      </c>
      <c r="C296" t="s">
        <v>7</v>
      </c>
      <c r="D296">
        <v>200</v>
      </c>
      <c r="F296">
        <v>75</v>
      </c>
      <c r="G296">
        <v>11.55</v>
      </c>
      <c r="H296">
        <f t="shared" si="57"/>
        <v>950</v>
      </c>
      <c r="I296">
        <v>221</v>
      </c>
      <c r="J296">
        <f t="shared" si="48"/>
        <v>0.48507125007266594</v>
      </c>
      <c r="K296">
        <f t="shared" si="49"/>
        <v>0.75</v>
      </c>
      <c r="L296">
        <v>1</v>
      </c>
      <c r="M296">
        <f t="shared" si="47"/>
        <v>0.94436627188223443</v>
      </c>
      <c r="N296">
        <f t="shared" si="50"/>
        <v>5.5467348619047945</v>
      </c>
      <c r="O296">
        <f t="shared" si="51"/>
        <v>0.96858079167408662</v>
      </c>
      <c r="P296">
        <f t="shared" si="52"/>
        <v>0.96858079167408662</v>
      </c>
      <c r="Q296">
        <f t="shared" si="53"/>
        <v>69.011381406778668</v>
      </c>
    </row>
    <row r="297" spans="1:17" x14ac:dyDescent="0.6">
      <c r="A297">
        <v>296</v>
      </c>
      <c r="B297" s="2" t="s">
        <v>71</v>
      </c>
      <c r="C297" t="s">
        <v>7</v>
      </c>
      <c r="D297">
        <v>100</v>
      </c>
      <c r="F297">
        <v>75</v>
      </c>
      <c r="G297">
        <v>11.55</v>
      </c>
      <c r="H297">
        <f t="shared" si="57"/>
        <v>550</v>
      </c>
      <c r="I297">
        <v>109</v>
      </c>
      <c r="J297">
        <f t="shared" si="48"/>
        <v>0.48507125007266594</v>
      </c>
      <c r="K297">
        <f t="shared" si="49"/>
        <v>0.75</v>
      </c>
      <c r="L297">
        <v>1</v>
      </c>
      <c r="M297">
        <f t="shared" si="47"/>
        <v>0.94436627188223443</v>
      </c>
      <c r="N297">
        <f t="shared" si="50"/>
        <v>9.351786574348953</v>
      </c>
      <c r="O297">
        <f t="shared" si="51"/>
        <v>0.96858079167408662</v>
      </c>
      <c r="P297">
        <f t="shared" si="52"/>
        <v>0.96858079167408662</v>
      </c>
      <c r="Q297">
        <f t="shared" si="53"/>
        <v>39.953957656556078</v>
      </c>
    </row>
    <row r="298" spans="1:17" x14ac:dyDescent="0.6">
      <c r="A298">
        <v>297</v>
      </c>
      <c r="B298" s="2" t="s">
        <v>71</v>
      </c>
      <c r="C298" t="s">
        <v>7</v>
      </c>
      <c r="D298">
        <v>200</v>
      </c>
      <c r="F298">
        <v>75</v>
      </c>
      <c r="G298">
        <v>35.85</v>
      </c>
      <c r="H298">
        <f t="shared" si="57"/>
        <v>950</v>
      </c>
      <c r="I298">
        <v>623</v>
      </c>
      <c r="J298">
        <f t="shared" si="48"/>
        <v>0.48507125007266594</v>
      </c>
      <c r="K298">
        <f t="shared" si="49"/>
        <v>1</v>
      </c>
      <c r="L298">
        <v>1</v>
      </c>
      <c r="M298">
        <f t="shared" si="47"/>
        <v>2.2183639157045452</v>
      </c>
      <c r="N298">
        <f t="shared" si="50"/>
        <v>13.029559434715246</v>
      </c>
      <c r="O298">
        <f t="shared" si="51"/>
        <v>2.275245041748251</v>
      </c>
      <c r="P298">
        <f t="shared" si="52"/>
        <v>2.275245041748251</v>
      </c>
      <c r="Q298">
        <f t="shared" si="53"/>
        <v>162.11120922456288</v>
      </c>
    </row>
    <row r="299" spans="1:17" x14ac:dyDescent="0.6">
      <c r="A299">
        <v>298</v>
      </c>
      <c r="B299" s="2" t="s">
        <v>71</v>
      </c>
      <c r="C299" t="s">
        <v>7</v>
      </c>
      <c r="D299">
        <v>200</v>
      </c>
      <c r="F299">
        <v>75</v>
      </c>
      <c r="G299">
        <v>35.85</v>
      </c>
      <c r="H299">
        <f t="shared" si="57"/>
        <v>950</v>
      </c>
      <c r="I299">
        <v>368</v>
      </c>
      <c r="J299">
        <f t="shared" si="48"/>
        <v>0.48507125007266594</v>
      </c>
      <c r="K299">
        <f t="shared" si="49"/>
        <v>1</v>
      </c>
      <c r="L299">
        <v>1</v>
      </c>
      <c r="M299">
        <f t="shared" si="47"/>
        <v>2.2183639157045452</v>
      </c>
      <c r="N299">
        <f t="shared" si="50"/>
        <v>13.029559434715246</v>
      </c>
      <c r="O299">
        <f t="shared" si="51"/>
        <v>2.275245041748251</v>
      </c>
      <c r="P299">
        <f t="shared" si="52"/>
        <v>2.275245041748251</v>
      </c>
      <c r="Q299">
        <f t="shared" si="53"/>
        <v>162.11120922456288</v>
      </c>
    </row>
    <row r="300" spans="1:17" x14ac:dyDescent="0.6">
      <c r="A300">
        <v>299</v>
      </c>
      <c r="B300" s="2" t="s">
        <v>71</v>
      </c>
      <c r="C300" t="s">
        <v>7</v>
      </c>
      <c r="D300">
        <v>100</v>
      </c>
      <c r="F300">
        <v>75</v>
      </c>
      <c r="G300">
        <v>35.85</v>
      </c>
      <c r="H300">
        <f t="shared" si="57"/>
        <v>550</v>
      </c>
      <c r="I300">
        <v>451</v>
      </c>
      <c r="J300">
        <f t="shared" si="48"/>
        <v>0.48507125007266594</v>
      </c>
      <c r="K300">
        <f t="shared" si="49"/>
        <v>1</v>
      </c>
      <c r="L300">
        <v>1</v>
      </c>
      <c r="M300">
        <f t="shared" si="47"/>
        <v>2.2183639157045452</v>
      </c>
      <c r="N300">
        <f t="shared" si="50"/>
        <v>21.967817468276746</v>
      </c>
      <c r="O300">
        <f t="shared" si="51"/>
        <v>2.275245041748251</v>
      </c>
      <c r="P300">
        <f t="shared" si="52"/>
        <v>2.275245041748251</v>
      </c>
      <c r="Q300">
        <f t="shared" si="53"/>
        <v>93.853857972115364</v>
      </c>
    </row>
    <row r="301" spans="1:17" x14ac:dyDescent="0.6">
      <c r="A301">
        <v>300</v>
      </c>
      <c r="B301" s="2" t="s">
        <v>71</v>
      </c>
      <c r="C301" t="s">
        <v>7</v>
      </c>
      <c r="D301">
        <v>200</v>
      </c>
      <c r="F301">
        <v>160</v>
      </c>
      <c r="G301">
        <v>28.2</v>
      </c>
      <c r="H301">
        <f t="shared" si="57"/>
        <v>1120</v>
      </c>
      <c r="I301">
        <v>1099</v>
      </c>
      <c r="J301">
        <f t="shared" si="48"/>
        <v>0.34299717028501769</v>
      </c>
      <c r="K301">
        <f t="shared" si="49"/>
        <v>0.85</v>
      </c>
      <c r="L301">
        <v>1</v>
      </c>
      <c r="M301">
        <f t="shared" si="47"/>
        <v>1.6723673964249004</v>
      </c>
      <c r="N301">
        <f t="shared" si="50"/>
        <v>17.323043732892515</v>
      </c>
      <c r="O301">
        <f t="shared" si="51"/>
        <v>1.7152486117178467</v>
      </c>
      <c r="P301">
        <f t="shared" si="52"/>
        <v>1.7152486117178467</v>
      </c>
      <c r="Q301">
        <f t="shared" si="53"/>
        <v>307.37255121983816</v>
      </c>
    </row>
    <row r="302" spans="1:17" x14ac:dyDescent="0.6">
      <c r="A302">
        <v>301</v>
      </c>
      <c r="B302" s="2" t="s">
        <v>71</v>
      </c>
      <c r="C302" t="s">
        <v>7</v>
      </c>
      <c r="D302">
        <v>100</v>
      </c>
      <c r="F302">
        <v>75</v>
      </c>
      <c r="G302">
        <v>28.2</v>
      </c>
      <c r="H302">
        <f t="shared" si="57"/>
        <v>550</v>
      </c>
      <c r="I302">
        <v>142</v>
      </c>
      <c r="J302">
        <f t="shared" si="48"/>
        <v>0.48507125007266594</v>
      </c>
      <c r="K302">
        <f t="shared" si="49"/>
        <v>0.85</v>
      </c>
      <c r="L302">
        <v>1</v>
      </c>
      <c r="M302">
        <f t="shared" si="47"/>
        <v>1.6723673964249004</v>
      </c>
      <c r="N302">
        <f t="shared" si="50"/>
        <v>16.560971554070505</v>
      </c>
      <c r="O302">
        <f t="shared" si="51"/>
        <v>1.7152486117178467</v>
      </c>
      <c r="P302">
        <f t="shared" si="52"/>
        <v>1.7152486117178467</v>
      </c>
      <c r="Q302">
        <f t="shared" si="53"/>
        <v>70.754005233361184</v>
      </c>
    </row>
    <row r="303" spans="1:17" x14ac:dyDescent="0.6">
      <c r="A303">
        <v>302</v>
      </c>
      <c r="B303" s="2" t="s">
        <v>72</v>
      </c>
      <c r="C303" t="s">
        <v>10</v>
      </c>
      <c r="D303">
        <v>210</v>
      </c>
      <c r="F303">
        <v>113</v>
      </c>
      <c r="G303">
        <v>21.945</v>
      </c>
      <c r="H303">
        <f t="shared" ref="H303:H304" si="58">PI()*(D303+F303)</f>
        <v>1014.7344271095031</v>
      </c>
      <c r="I303">
        <v>280</v>
      </c>
      <c r="J303">
        <f t="shared" si="48"/>
        <v>0.4032389192727559</v>
      </c>
      <c r="K303">
        <f t="shared" si="49"/>
        <v>0.75</v>
      </c>
      <c r="L303">
        <v>1</v>
      </c>
      <c r="M303">
        <f t="shared" si="47"/>
        <v>1.3017190731454407</v>
      </c>
      <c r="N303">
        <f t="shared" si="50"/>
        <v>10.60642401603463</v>
      </c>
      <c r="O303">
        <f t="shared" si="51"/>
        <v>1.335096485277375</v>
      </c>
      <c r="P303">
        <f t="shared" si="52"/>
        <v>1.335096485277375</v>
      </c>
      <c r="Q303">
        <f t="shared" si="53"/>
        <v>153.08882548499486</v>
      </c>
    </row>
    <row r="304" spans="1:17" x14ac:dyDescent="0.6">
      <c r="A304">
        <v>303</v>
      </c>
      <c r="B304" s="2" t="s">
        <v>72</v>
      </c>
      <c r="C304" t="s">
        <v>10</v>
      </c>
      <c r="D304">
        <v>210</v>
      </c>
      <c r="F304">
        <v>170</v>
      </c>
      <c r="G304">
        <v>22.135000000000002</v>
      </c>
      <c r="H304">
        <f t="shared" si="58"/>
        <v>1193.8052083641214</v>
      </c>
      <c r="I304">
        <v>480</v>
      </c>
      <c r="J304">
        <f t="shared" si="48"/>
        <v>0.33333333333333331</v>
      </c>
      <c r="K304">
        <f t="shared" si="49"/>
        <v>0.75</v>
      </c>
      <c r="L304">
        <v>1</v>
      </c>
      <c r="M304">
        <f t="shared" si="47"/>
        <v>1.3073420758773793</v>
      </c>
      <c r="N304">
        <f t="shared" si="50"/>
        <v>13.5001914498331</v>
      </c>
      <c r="O304">
        <f t="shared" si="51"/>
        <v>1.3408636675665428</v>
      </c>
      <c r="P304">
        <f t="shared" si="52"/>
        <v>1.3408636675665428</v>
      </c>
      <c r="Q304">
        <f t="shared" si="53"/>
        <v>272.12410510801664</v>
      </c>
    </row>
    <row r="305" spans="1:17" x14ac:dyDescent="0.6">
      <c r="A305">
        <v>304</v>
      </c>
      <c r="B305" s="2" t="s">
        <v>73</v>
      </c>
      <c r="C305" t="s">
        <v>7</v>
      </c>
      <c r="D305">
        <v>150</v>
      </c>
      <c r="F305">
        <v>100</v>
      </c>
      <c r="G305">
        <v>34.950000000000003</v>
      </c>
      <c r="H305">
        <f t="shared" ref="H305:H306" si="59">4*D305+2*F305</f>
        <v>800</v>
      </c>
      <c r="I305">
        <v>198</v>
      </c>
      <c r="J305">
        <f t="shared" si="48"/>
        <v>0.42640143271122088</v>
      </c>
      <c r="K305">
        <f t="shared" si="49"/>
        <v>0.85</v>
      </c>
      <c r="L305">
        <v>1</v>
      </c>
      <c r="M305">
        <f t="shared" si="47"/>
        <v>1.8617901490484234</v>
      </c>
      <c r="N305">
        <f t="shared" si="50"/>
        <v>16.95208925186196</v>
      </c>
      <c r="O305">
        <f t="shared" si="51"/>
        <v>1.9095283579983828</v>
      </c>
      <c r="P305">
        <f t="shared" si="52"/>
        <v>1.9095283579983828</v>
      </c>
      <c r="Q305">
        <f t="shared" si="53"/>
        <v>152.76226863987063</v>
      </c>
    </row>
    <row r="306" spans="1:17" x14ac:dyDescent="0.6">
      <c r="A306">
        <v>305</v>
      </c>
      <c r="B306" s="2" t="s">
        <v>73</v>
      </c>
      <c r="C306" t="s">
        <v>7</v>
      </c>
      <c r="D306">
        <v>150</v>
      </c>
      <c r="F306">
        <v>100</v>
      </c>
      <c r="G306">
        <v>38.024999999999999</v>
      </c>
      <c r="H306">
        <f t="shared" si="59"/>
        <v>800</v>
      </c>
      <c r="I306">
        <v>222</v>
      </c>
      <c r="J306">
        <f t="shared" si="48"/>
        <v>0.42640143271122088</v>
      </c>
      <c r="K306">
        <f t="shared" si="49"/>
        <v>1</v>
      </c>
      <c r="L306">
        <v>1</v>
      </c>
      <c r="M306">
        <f t="shared" si="47"/>
        <v>2.2846665525301502</v>
      </c>
      <c r="N306">
        <f t="shared" si="50"/>
        <v>20.802490188827157</v>
      </c>
      <c r="O306">
        <f t="shared" si="51"/>
        <v>2.3432477461847689</v>
      </c>
      <c r="P306">
        <f t="shared" si="52"/>
        <v>2.3432477461847689</v>
      </c>
      <c r="Q306">
        <f t="shared" si="53"/>
        <v>187.45981969478154</v>
      </c>
    </row>
    <row r="307" spans="1:17" x14ac:dyDescent="0.6">
      <c r="A307">
        <v>306</v>
      </c>
      <c r="B307" s="2" t="s">
        <v>74</v>
      </c>
      <c r="C307" t="s">
        <v>10</v>
      </c>
      <c r="D307">
        <v>800</v>
      </c>
      <c r="F307">
        <v>668.5</v>
      </c>
      <c r="G307">
        <v>28.65</v>
      </c>
      <c r="H307">
        <f t="shared" ref="H307:H313" si="60">PI()*(D307+F307)</f>
        <v>4613.4288117966116</v>
      </c>
      <c r="I307">
        <v>4915</v>
      </c>
      <c r="J307">
        <f t="shared" si="48"/>
        <v>0.17168805150683525</v>
      </c>
      <c r="K307">
        <f t="shared" si="49"/>
        <v>0.85</v>
      </c>
      <c r="L307">
        <v>1</v>
      </c>
      <c r="M307">
        <f t="shared" si="47"/>
        <v>1.68565794236442</v>
      </c>
      <c r="N307">
        <f t="shared" si="50"/>
        <v>17.702728895094637</v>
      </c>
      <c r="O307">
        <f t="shared" si="51"/>
        <v>1.7288799408865847</v>
      </c>
      <c r="P307">
        <f t="shared" si="52"/>
        <v>1.7288799408865847</v>
      </c>
      <c r="Q307">
        <f t="shared" si="53"/>
        <v>5331.999139256538</v>
      </c>
    </row>
    <row r="308" spans="1:17" x14ac:dyDescent="0.6">
      <c r="A308">
        <v>307</v>
      </c>
      <c r="B308" s="1" t="s">
        <v>92</v>
      </c>
      <c r="C308" t="s">
        <v>10</v>
      </c>
      <c r="D308">
        <v>300</v>
      </c>
      <c r="F308">
        <v>171</v>
      </c>
      <c r="G308">
        <v>25.745000000000001</v>
      </c>
      <c r="H308">
        <f t="shared" si="60"/>
        <v>1479.6901398407927</v>
      </c>
      <c r="I308">
        <v>626</v>
      </c>
      <c r="J308">
        <f t="shared" si="48"/>
        <v>0.33241124765726682</v>
      </c>
      <c r="K308">
        <f t="shared" si="49"/>
        <v>0.85</v>
      </c>
      <c r="L308">
        <v>1</v>
      </c>
      <c r="M308">
        <f t="shared" si="47"/>
        <v>1.5979146781244689</v>
      </c>
      <c r="N308">
        <f t="shared" si="50"/>
        <v>13.491416298021317</v>
      </c>
      <c r="O308">
        <f t="shared" si="51"/>
        <v>1.6388868493584297</v>
      </c>
      <c r="P308">
        <f t="shared" si="52"/>
        <v>1.6388868493584297</v>
      </c>
      <c r="Q308">
        <f t="shared" si="53"/>
        <v>414.6826456340803</v>
      </c>
    </row>
    <row r="309" spans="1:17" x14ac:dyDescent="0.6">
      <c r="A309">
        <v>308</v>
      </c>
      <c r="B309" s="1" t="s">
        <v>28</v>
      </c>
      <c r="C309" t="s">
        <v>10</v>
      </c>
      <c r="D309">
        <v>100</v>
      </c>
      <c r="F309">
        <v>80</v>
      </c>
      <c r="G309">
        <v>37.5</v>
      </c>
      <c r="H309">
        <f t="shared" si="60"/>
        <v>565.48667764616278</v>
      </c>
      <c r="I309">
        <v>183</v>
      </c>
      <c r="J309">
        <f t="shared" si="48"/>
        <v>0.47140452079103168</v>
      </c>
      <c r="K309">
        <f t="shared" si="49"/>
        <v>1</v>
      </c>
      <c r="L309">
        <v>1</v>
      </c>
      <c r="M309">
        <f t="shared" si="47"/>
        <v>2.2688398742529188</v>
      </c>
      <c r="N309">
        <f t="shared" si="50"/>
        <v>23.280854215946064</v>
      </c>
      <c r="O309">
        <f t="shared" si="51"/>
        <v>2.3270152556440191</v>
      </c>
      <c r="P309">
        <f t="shared" si="52"/>
        <v>2.3270152556440191</v>
      </c>
      <c r="Q309">
        <f t="shared" si="53"/>
        <v>105.27169005968581</v>
      </c>
    </row>
    <row r="310" spans="1:17" x14ac:dyDescent="0.6">
      <c r="A310">
        <v>309</v>
      </c>
      <c r="B310" s="1" t="s">
        <v>28</v>
      </c>
      <c r="C310" t="s">
        <v>10</v>
      </c>
      <c r="D310">
        <v>240</v>
      </c>
      <c r="F310">
        <v>80</v>
      </c>
      <c r="G310">
        <v>41.9</v>
      </c>
      <c r="H310">
        <f t="shared" si="60"/>
        <v>1005.3096491487338</v>
      </c>
      <c r="I310">
        <v>281</v>
      </c>
      <c r="J310">
        <f t="shared" si="48"/>
        <v>0.47140452079103168</v>
      </c>
      <c r="K310">
        <f t="shared" si="49"/>
        <v>1</v>
      </c>
      <c r="L310">
        <v>1</v>
      </c>
      <c r="M310">
        <f t="shared" si="47"/>
        <v>2.3982542557035109</v>
      </c>
      <c r="N310">
        <f t="shared" si="50"/>
        <v>14.192190702300753</v>
      </c>
      <c r="O310">
        <f t="shared" si="51"/>
        <v>2.4597479545677032</v>
      </c>
      <c r="P310">
        <f t="shared" si="52"/>
        <v>2.4597479545677032</v>
      </c>
      <c r="Q310">
        <f t="shared" si="53"/>
        <v>197.82466825606184</v>
      </c>
    </row>
    <row r="311" spans="1:17" x14ac:dyDescent="0.6">
      <c r="A311">
        <v>310</v>
      </c>
      <c r="B311" s="1" t="s">
        <v>28</v>
      </c>
      <c r="C311" t="s">
        <v>10</v>
      </c>
      <c r="D311">
        <v>200</v>
      </c>
      <c r="F311">
        <v>80</v>
      </c>
      <c r="G311">
        <v>40</v>
      </c>
      <c r="H311">
        <f t="shared" si="60"/>
        <v>879.64594300514204</v>
      </c>
      <c r="I311">
        <v>288</v>
      </c>
      <c r="J311">
        <f t="shared" si="48"/>
        <v>0.47140452079103168</v>
      </c>
      <c r="K311">
        <f t="shared" si="49"/>
        <v>1</v>
      </c>
      <c r="L311">
        <v>1</v>
      </c>
      <c r="M311">
        <f t="shared" si="47"/>
        <v>2.3432477461847694</v>
      </c>
      <c r="N311">
        <f t="shared" si="50"/>
        <v>15.73604846453774</v>
      </c>
      <c r="O311">
        <f t="shared" si="51"/>
        <v>2.4033310217279684</v>
      </c>
      <c r="P311">
        <f t="shared" si="52"/>
        <v>2.4033310217279684</v>
      </c>
      <c r="Q311">
        <f t="shared" si="53"/>
        <v>169.12643063691283</v>
      </c>
    </row>
    <row r="312" spans="1:17" x14ac:dyDescent="0.6">
      <c r="A312">
        <v>311</v>
      </c>
      <c r="B312" s="1" t="s">
        <v>28</v>
      </c>
      <c r="C312" t="s">
        <v>10</v>
      </c>
      <c r="D312">
        <v>320</v>
      </c>
      <c r="F312">
        <v>80</v>
      </c>
      <c r="G312">
        <v>38</v>
      </c>
      <c r="H312">
        <f t="shared" si="60"/>
        <v>1256.6370614359173</v>
      </c>
      <c r="I312">
        <v>324</v>
      </c>
      <c r="J312">
        <f t="shared" si="48"/>
        <v>0.47140452079103168</v>
      </c>
      <c r="K312">
        <f t="shared" si="49"/>
        <v>1</v>
      </c>
      <c r="L312">
        <v>1</v>
      </c>
      <c r="M312">
        <f t="shared" si="47"/>
        <v>2.2839153881000058</v>
      </c>
      <c r="N312">
        <f t="shared" si="50"/>
        <v>10.964713511675734</v>
      </c>
      <c r="O312">
        <f t="shared" si="51"/>
        <v>2.3424773211282108</v>
      </c>
      <c r="P312">
        <f t="shared" si="52"/>
        <v>2.3424773211282108</v>
      </c>
      <c r="Q312">
        <f t="shared" si="53"/>
        <v>235.49150538422677</v>
      </c>
    </row>
    <row r="313" spans="1:17" x14ac:dyDescent="0.6">
      <c r="A313">
        <v>312</v>
      </c>
      <c r="B313" s="3" t="s">
        <v>93</v>
      </c>
      <c r="C313" t="s">
        <v>10</v>
      </c>
      <c r="D313">
        <v>300</v>
      </c>
      <c r="F313">
        <v>143</v>
      </c>
      <c r="G313">
        <v>32.4</v>
      </c>
      <c r="H313">
        <f t="shared" si="60"/>
        <v>1391.7255455402783</v>
      </c>
      <c r="I313">
        <v>628</v>
      </c>
      <c r="J313">
        <f t="shared" si="48"/>
        <v>0.36155076303109362</v>
      </c>
      <c r="K313">
        <f t="shared" si="49"/>
        <v>0.85</v>
      </c>
      <c r="L313">
        <v>1</v>
      </c>
      <c r="M313">
        <f t="shared" si="47"/>
        <v>1.7925845258313484</v>
      </c>
      <c r="N313">
        <f t="shared" si="50"/>
        <v>13.523024167370062</v>
      </c>
      <c r="O313">
        <f t="shared" si="51"/>
        <v>1.838548231621896</v>
      </c>
      <c r="P313">
        <f t="shared" si="52"/>
        <v>1.838548231621896</v>
      </c>
      <c r="Q313">
        <f t="shared" si="53"/>
        <v>365.90189931382184</v>
      </c>
    </row>
    <row r="314" spans="1:17" x14ac:dyDescent="0.6">
      <c r="A314">
        <v>313</v>
      </c>
      <c r="B314" s="2" t="s">
        <v>75</v>
      </c>
      <c r="C314" t="s">
        <v>7</v>
      </c>
      <c r="D314">
        <v>254</v>
      </c>
      <c r="F314">
        <v>120.65</v>
      </c>
      <c r="G314">
        <v>30.786175</v>
      </c>
      <c r="H314">
        <f t="shared" ref="H314:H323" si="61">4*D314+2*F314</f>
        <v>1257.3</v>
      </c>
      <c r="I314">
        <v>290</v>
      </c>
      <c r="J314">
        <f t="shared" si="48"/>
        <v>0.39125535152336954</v>
      </c>
      <c r="K314">
        <f t="shared" si="49"/>
        <v>0.85</v>
      </c>
      <c r="L314">
        <v>1</v>
      </c>
      <c r="M314">
        <f t="shared" si="47"/>
        <v>1.7473705218923903</v>
      </c>
      <c r="N314">
        <f t="shared" si="50"/>
        <v>12.349261701859014</v>
      </c>
      <c r="O314">
        <f t="shared" si="51"/>
        <v>1.7921748942486053</v>
      </c>
      <c r="P314">
        <f t="shared" si="52"/>
        <v>1.7921748942486053</v>
      </c>
      <c r="Q314">
        <f t="shared" si="53"/>
        <v>271.86082531610276</v>
      </c>
    </row>
    <row r="315" spans="1:17" x14ac:dyDescent="0.6">
      <c r="A315">
        <v>314</v>
      </c>
      <c r="B315" s="2" t="s">
        <v>75</v>
      </c>
      <c r="C315" t="s">
        <v>7</v>
      </c>
      <c r="D315">
        <v>254</v>
      </c>
      <c r="F315">
        <v>122.17400000000001</v>
      </c>
      <c r="G315">
        <v>27.576552499999998</v>
      </c>
      <c r="H315">
        <f t="shared" si="61"/>
        <v>1260.348</v>
      </c>
      <c r="I315">
        <v>273</v>
      </c>
      <c r="J315">
        <f t="shared" si="48"/>
        <v>0.38899317464948946</v>
      </c>
      <c r="K315">
        <f t="shared" si="49"/>
        <v>0.85</v>
      </c>
      <c r="L315">
        <v>1</v>
      </c>
      <c r="M315">
        <f t="shared" si="47"/>
        <v>1.6537776709174008</v>
      </c>
      <c r="N315">
        <f t="shared" si="50"/>
        <v>11.801208801289199</v>
      </c>
      <c r="O315">
        <f t="shared" si="51"/>
        <v>1.6961822265819495</v>
      </c>
      <c r="P315">
        <f t="shared" si="52"/>
        <v>1.6961822265819495</v>
      </c>
      <c r="Q315">
        <f t="shared" si="53"/>
        <v>261.18111868137106</v>
      </c>
    </row>
    <row r="316" spans="1:17" x14ac:dyDescent="0.6">
      <c r="A316">
        <v>315</v>
      </c>
      <c r="B316" s="2" t="s">
        <v>75</v>
      </c>
      <c r="C316" t="s">
        <v>7</v>
      </c>
      <c r="D316">
        <v>254</v>
      </c>
      <c r="F316">
        <v>123.952</v>
      </c>
      <c r="G316">
        <v>28.100572499999998</v>
      </c>
      <c r="H316">
        <f t="shared" si="61"/>
        <v>1263.904</v>
      </c>
      <c r="I316">
        <v>464</v>
      </c>
      <c r="J316">
        <f t="shared" si="48"/>
        <v>0.3864029173344915</v>
      </c>
      <c r="K316">
        <f t="shared" si="49"/>
        <v>0.85</v>
      </c>
      <c r="L316">
        <v>1</v>
      </c>
      <c r="M316">
        <f t="shared" si="47"/>
        <v>1.6694165784272046</v>
      </c>
      <c r="N316">
        <f t="shared" si="50"/>
        <v>12.045659453378761</v>
      </c>
      <c r="O316">
        <f t="shared" si="51"/>
        <v>1.7122221317202098</v>
      </c>
      <c r="P316">
        <f t="shared" si="52"/>
        <v>1.7122221317202098</v>
      </c>
      <c r="Q316">
        <f t="shared" si="53"/>
        <v>268.24258969378661</v>
      </c>
    </row>
    <row r="317" spans="1:17" x14ac:dyDescent="0.6">
      <c r="A317">
        <v>316</v>
      </c>
      <c r="B317" s="2" t="s">
        <v>75</v>
      </c>
      <c r="C317" t="s">
        <v>7</v>
      </c>
      <c r="D317">
        <v>254</v>
      </c>
      <c r="F317">
        <v>122.17400000000001</v>
      </c>
      <c r="G317">
        <v>28.624592499999999</v>
      </c>
      <c r="H317">
        <f t="shared" si="61"/>
        <v>1260.348</v>
      </c>
      <c r="I317">
        <v>440</v>
      </c>
      <c r="J317">
        <f t="shared" si="48"/>
        <v>0.38899317464948946</v>
      </c>
      <c r="K317">
        <f t="shared" si="49"/>
        <v>0.85</v>
      </c>
      <c r="L317">
        <v>1</v>
      </c>
      <c r="M317">
        <f t="shared" si="47"/>
        <v>1.6849103358428921</v>
      </c>
      <c r="N317">
        <f t="shared" si="50"/>
        <v>12.023368699676562</v>
      </c>
      <c r="O317">
        <f t="shared" si="51"/>
        <v>1.7281131649670689</v>
      </c>
      <c r="P317">
        <f t="shared" si="52"/>
        <v>1.7281131649670689</v>
      </c>
      <c r="Q317">
        <f t="shared" si="53"/>
        <v>266.09790066226543</v>
      </c>
    </row>
    <row r="318" spans="1:17" x14ac:dyDescent="0.6">
      <c r="A318">
        <v>317</v>
      </c>
      <c r="B318" s="2" t="s">
        <v>75</v>
      </c>
      <c r="C318" t="s">
        <v>7</v>
      </c>
      <c r="D318">
        <v>508</v>
      </c>
      <c r="F318">
        <v>127</v>
      </c>
      <c r="G318">
        <v>25.283964999999998</v>
      </c>
      <c r="H318">
        <f t="shared" si="61"/>
        <v>2286</v>
      </c>
      <c r="I318">
        <v>342</v>
      </c>
      <c r="J318">
        <f t="shared" si="48"/>
        <v>0.3820803599504351</v>
      </c>
      <c r="K318">
        <f t="shared" si="49"/>
        <v>0.85</v>
      </c>
      <c r="L318">
        <v>1</v>
      </c>
      <c r="M318">
        <f t="shared" si="47"/>
        <v>1.583542516638266</v>
      </c>
      <c r="N318">
        <f t="shared" si="50"/>
        <v>6.7015025411728573</v>
      </c>
      <c r="O318">
        <f t="shared" si="51"/>
        <v>1.6241461709110421</v>
      </c>
      <c r="P318">
        <f t="shared" si="52"/>
        <v>1.6241461709110421</v>
      </c>
      <c r="Q318">
        <f t="shared" si="53"/>
        <v>471.52536463123556</v>
      </c>
    </row>
    <row r="319" spans="1:17" x14ac:dyDescent="0.6">
      <c r="A319">
        <v>318</v>
      </c>
      <c r="B319" s="2" t="s">
        <v>75</v>
      </c>
      <c r="C319" t="s">
        <v>7</v>
      </c>
      <c r="D319">
        <v>508</v>
      </c>
      <c r="F319">
        <v>123.952</v>
      </c>
      <c r="G319">
        <v>30.589667500000001</v>
      </c>
      <c r="H319">
        <f t="shared" si="61"/>
        <v>2279.904</v>
      </c>
      <c r="I319">
        <v>330</v>
      </c>
      <c r="J319">
        <f t="shared" si="48"/>
        <v>0.3864029173344915</v>
      </c>
      <c r="K319">
        <f t="shared" si="49"/>
        <v>0.85</v>
      </c>
      <c r="L319">
        <v>1</v>
      </c>
      <c r="M319">
        <f t="shared" si="47"/>
        <v>1.7417848799335136</v>
      </c>
      <c r="N319">
        <f t="shared" si="50"/>
        <v>7.2259261465146816</v>
      </c>
      <c r="O319">
        <f t="shared" si="51"/>
        <v>1.7864460307010397</v>
      </c>
      <c r="P319">
        <f t="shared" si="52"/>
        <v>1.7864460307010397</v>
      </c>
      <c r="Q319">
        <f t="shared" si="53"/>
        <v>504.8472555245919</v>
      </c>
    </row>
    <row r="320" spans="1:17" x14ac:dyDescent="0.6">
      <c r="A320">
        <v>319</v>
      </c>
      <c r="B320" s="2" t="s">
        <v>75</v>
      </c>
      <c r="C320" t="s">
        <v>7</v>
      </c>
      <c r="D320">
        <v>508</v>
      </c>
      <c r="F320">
        <v>125.476</v>
      </c>
      <c r="G320">
        <v>33.668284999999997</v>
      </c>
      <c r="H320">
        <f t="shared" si="61"/>
        <v>2282.9520000000002</v>
      </c>
      <c r="I320">
        <v>579</v>
      </c>
      <c r="J320">
        <f t="shared" si="48"/>
        <v>0.38422340386943898</v>
      </c>
      <c r="K320">
        <f t="shared" si="49"/>
        <v>0.85</v>
      </c>
      <c r="L320">
        <v>1</v>
      </c>
      <c r="M320">
        <f t="shared" si="47"/>
        <v>1.8273327398267818</v>
      </c>
      <c r="N320">
        <f t="shared" si="50"/>
        <v>7.6571232609237656</v>
      </c>
      <c r="O320">
        <f t="shared" si="51"/>
        <v>1.8741874254633659</v>
      </c>
      <c r="P320">
        <f t="shared" si="52"/>
        <v>1.8741874254633659</v>
      </c>
      <c r="Q320">
        <f t="shared" si="53"/>
        <v>536.87164306437148</v>
      </c>
    </row>
    <row r="321" spans="1:17" x14ac:dyDescent="0.6">
      <c r="A321">
        <v>320</v>
      </c>
      <c r="B321" s="2" t="s">
        <v>75</v>
      </c>
      <c r="C321" t="s">
        <v>7</v>
      </c>
      <c r="D321">
        <v>508</v>
      </c>
      <c r="F321">
        <v>125.476</v>
      </c>
      <c r="G321">
        <v>33.930295000000001</v>
      </c>
      <c r="H321">
        <f t="shared" si="61"/>
        <v>2282.9520000000002</v>
      </c>
      <c r="I321">
        <v>580</v>
      </c>
      <c r="J321">
        <f t="shared" si="48"/>
        <v>0.38422340386943898</v>
      </c>
      <c r="K321">
        <f t="shared" si="49"/>
        <v>0.85</v>
      </c>
      <c r="L321">
        <v>1</v>
      </c>
      <c r="M321">
        <f t="shared" si="47"/>
        <v>1.8344292043559924</v>
      </c>
      <c r="N321">
        <f t="shared" si="50"/>
        <v>7.6868597738382602</v>
      </c>
      <c r="O321">
        <f t="shared" si="51"/>
        <v>1.8814658506215307</v>
      </c>
      <c r="P321">
        <f t="shared" si="52"/>
        <v>1.8814658506215307</v>
      </c>
      <c r="Q321">
        <f t="shared" si="53"/>
        <v>538.95658932988113</v>
      </c>
    </row>
    <row r="322" spans="1:17" x14ac:dyDescent="0.6">
      <c r="A322">
        <v>321</v>
      </c>
      <c r="B322" s="2" t="s">
        <v>76</v>
      </c>
      <c r="C322" t="s">
        <v>7</v>
      </c>
      <c r="D322">
        <v>76</v>
      </c>
      <c r="F322">
        <v>31.75</v>
      </c>
      <c r="G322">
        <v>28.008869000000001</v>
      </c>
      <c r="H322">
        <f t="shared" si="61"/>
        <v>367.5</v>
      </c>
      <c r="I322">
        <v>34</v>
      </c>
      <c r="J322">
        <f t="shared" si="48"/>
        <v>0.69212854020598269</v>
      </c>
      <c r="K322">
        <f t="shared" si="49"/>
        <v>0.85</v>
      </c>
      <c r="L322">
        <v>1</v>
      </c>
      <c r="M322">
        <f t="shared" ref="M322:M385" si="62">0.19*(1+2/L322)*K322*0.65*(G322)^0.5</f>
        <v>1.6666903626692746</v>
      </c>
      <c r="N322">
        <f t="shared" si="50"/>
        <v>10.660333763758732</v>
      </c>
      <c r="O322">
        <f t="shared" si="51"/>
        <v>1.7094260129941279</v>
      </c>
      <c r="P322">
        <f t="shared" si="52"/>
        <v>1.7094260129941279</v>
      </c>
      <c r="Q322">
        <f t="shared" si="53"/>
        <v>19.945796397867106</v>
      </c>
    </row>
    <row r="323" spans="1:17" x14ac:dyDescent="0.6">
      <c r="A323">
        <v>322</v>
      </c>
      <c r="B323" s="2" t="s">
        <v>76</v>
      </c>
      <c r="C323" t="s">
        <v>7</v>
      </c>
      <c r="D323">
        <v>76</v>
      </c>
      <c r="F323">
        <v>29.972000000000001</v>
      </c>
      <c r="G323">
        <v>26.332004999999999</v>
      </c>
      <c r="H323">
        <f t="shared" si="61"/>
        <v>363.94400000000002</v>
      </c>
      <c r="I323">
        <v>31</v>
      </c>
      <c r="J323">
        <f t="shared" ref="J323:J386" si="63">(2/(1+F323/10))^0.5</f>
        <v>0.70735439856667326</v>
      </c>
      <c r="K323">
        <f t="shared" ref="K323:K386" si="64">IF(G323&lt;24, 0.75, IF(G323&lt;35, 0.85, 1))</f>
        <v>0.85</v>
      </c>
      <c r="L323">
        <v>1</v>
      </c>
      <c r="M323">
        <f t="shared" si="62"/>
        <v>1.6160288230741056</v>
      </c>
      <c r="N323">
        <f t="shared" ref="N323:N386" si="65">(40*F323/H323+0.19)*K323*0.65*(G323)^0.5</f>
        <v>9.8779993252490517</v>
      </c>
      <c r="O323">
        <f t="shared" ref="O323:O386" si="66">0.38*K323*(G323)^0.5</f>
        <v>1.657465459563185</v>
      </c>
      <c r="P323">
        <f t="shared" ref="P323:P386" si="67">O323</f>
        <v>1.657465459563185</v>
      </c>
      <c r="Q323">
        <f t="shared" ref="Q323:Q386" si="68">P323*H323*F323/1000</f>
        <v>18.079847987399887</v>
      </c>
    </row>
    <row r="324" spans="1:17" x14ac:dyDescent="0.6">
      <c r="A324">
        <v>323</v>
      </c>
      <c r="B324" t="s">
        <v>94</v>
      </c>
      <c r="C324" t="s">
        <v>10</v>
      </c>
      <c r="D324">
        <v>226</v>
      </c>
      <c r="F324">
        <v>109</v>
      </c>
      <c r="G324">
        <v>39.6</v>
      </c>
      <c r="H324">
        <f t="shared" ref="H324:H328" si="69">PI()*(D324+F324)</f>
        <v>1052.4335389525806</v>
      </c>
      <c r="I324">
        <v>362</v>
      </c>
      <c r="J324">
        <f t="shared" si="63"/>
        <v>0.40996003084539384</v>
      </c>
      <c r="K324">
        <f t="shared" si="64"/>
        <v>1</v>
      </c>
      <c r="L324">
        <v>1</v>
      </c>
      <c r="M324">
        <f t="shared" si="62"/>
        <v>2.3315020694822475</v>
      </c>
      <c r="N324">
        <f t="shared" si="65"/>
        <v>17.722603808504381</v>
      </c>
      <c r="O324">
        <f t="shared" si="66"/>
        <v>2.3912841738279456</v>
      </c>
      <c r="P324">
        <f t="shared" si="67"/>
        <v>2.3912841738279456</v>
      </c>
      <c r="Q324">
        <f t="shared" si="68"/>
        <v>274.31677556163163</v>
      </c>
    </row>
    <row r="325" spans="1:17" x14ac:dyDescent="0.6">
      <c r="A325">
        <v>324</v>
      </c>
      <c r="B325" s="2" t="s">
        <v>77</v>
      </c>
      <c r="C325" t="s">
        <v>10</v>
      </c>
      <c r="D325">
        <v>120</v>
      </c>
      <c r="F325">
        <v>95.5</v>
      </c>
      <c r="G325">
        <v>24</v>
      </c>
      <c r="H325">
        <f t="shared" si="69"/>
        <v>677.01321684860045</v>
      </c>
      <c r="I325">
        <v>184</v>
      </c>
      <c r="J325">
        <f t="shared" si="63"/>
        <v>0.43540034418410811</v>
      </c>
      <c r="K325">
        <f t="shared" si="64"/>
        <v>0.85</v>
      </c>
      <c r="L325">
        <v>1</v>
      </c>
      <c r="M325">
        <f t="shared" si="62"/>
        <v>1.5428111144919847</v>
      </c>
      <c r="N325">
        <f t="shared" si="65"/>
        <v>15.786558852645681</v>
      </c>
      <c r="O325">
        <f t="shared" si="66"/>
        <v>1.5823703738379329</v>
      </c>
      <c r="P325">
        <f t="shared" si="67"/>
        <v>1.5823703738379329</v>
      </c>
      <c r="Q325">
        <f t="shared" si="68"/>
        <v>102.30778024712342</v>
      </c>
    </row>
    <row r="326" spans="1:17" x14ac:dyDescent="0.6">
      <c r="A326">
        <v>325</v>
      </c>
      <c r="B326" s="2" t="s">
        <v>77</v>
      </c>
      <c r="C326" t="s">
        <v>10</v>
      </c>
      <c r="D326">
        <v>120</v>
      </c>
      <c r="F326">
        <v>101</v>
      </c>
      <c r="G326">
        <v>23.925000000000001</v>
      </c>
      <c r="H326">
        <f t="shared" si="69"/>
        <v>694.29197644334431</v>
      </c>
      <c r="I326">
        <v>183</v>
      </c>
      <c r="J326">
        <f t="shared" si="63"/>
        <v>0.42447635997800892</v>
      </c>
      <c r="K326">
        <f t="shared" si="64"/>
        <v>0.75</v>
      </c>
      <c r="L326">
        <v>1</v>
      </c>
      <c r="M326">
        <f t="shared" si="62"/>
        <v>1.359175222820121</v>
      </c>
      <c r="N326">
        <f t="shared" si="65"/>
        <v>14.328276303438987</v>
      </c>
      <c r="O326">
        <f t="shared" si="66"/>
        <v>1.3940258695590986</v>
      </c>
      <c r="P326">
        <f t="shared" si="67"/>
        <v>1.3940258695590986</v>
      </c>
      <c r="Q326">
        <f t="shared" si="68"/>
        <v>97.753958595123152</v>
      </c>
    </row>
    <row r="327" spans="1:17" x14ac:dyDescent="0.6">
      <c r="A327">
        <v>326</v>
      </c>
      <c r="B327" s="2" t="s">
        <v>77</v>
      </c>
      <c r="C327" t="s">
        <v>10</v>
      </c>
      <c r="D327">
        <v>240</v>
      </c>
      <c r="F327">
        <v>201</v>
      </c>
      <c r="G327">
        <v>20.399999999999999</v>
      </c>
      <c r="H327">
        <f t="shared" si="69"/>
        <v>1385.4423602330987</v>
      </c>
      <c r="I327">
        <v>661</v>
      </c>
      <c r="J327">
        <f t="shared" si="63"/>
        <v>0.30787453590353958</v>
      </c>
      <c r="K327">
        <f t="shared" si="64"/>
        <v>0.75</v>
      </c>
      <c r="L327">
        <v>1</v>
      </c>
      <c r="M327">
        <f t="shared" si="62"/>
        <v>1.2550602052292152</v>
      </c>
      <c r="N327">
        <f t="shared" si="65"/>
        <v>13.196188829541715</v>
      </c>
      <c r="O327">
        <f t="shared" si="66"/>
        <v>1.2872412361325285</v>
      </c>
      <c r="P327">
        <f t="shared" si="67"/>
        <v>1.2872412361325285</v>
      </c>
      <c r="Q327">
        <f t="shared" si="68"/>
        <v>358.46310581174123</v>
      </c>
    </row>
    <row r="328" spans="1:17" x14ac:dyDescent="0.6">
      <c r="A328">
        <v>327</v>
      </c>
      <c r="B328" s="2" t="s">
        <v>77</v>
      </c>
      <c r="C328" t="s">
        <v>10</v>
      </c>
      <c r="D328">
        <v>240</v>
      </c>
      <c r="F328">
        <v>201</v>
      </c>
      <c r="G328">
        <v>20.100000000000001</v>
      </c>
      <c r="H328">
        <f t="shared" si="69"/>
        <v>1385.4423602330987</v>
      </c>
      <c r="I328">
        <v>558</v>
      </c>
      <c r="J328">
        <f t="shared" si="63"/>
        <v>0.30787453590353958</v>
      </c>
      <c r="K328">
        <f t="shared" si="64"/>
        <v>0.75</v>
      </c>
      <c r="L328">
        <v>1</v>
      </c>
      <c r="M328">
        <f t="shared" si="62"/>
        <v>1.2457976416988839</v>
      </c>
      <c r="N328">
        <f t="shared" si="65"/>
        <v>13.09879865106055</v>
      </c>
      <c r="O328">
        <f t="shared" si="66"/>
        <v>1.277741170973214</v>
      </c>
      <c r="P328">
        <f t="shared" si="67"/>
        <v>1.277741170973214</v>
      </c>
      <c r="Q328">
        <f t="shared" si="68"/>
        <v>355.81758547970674</v>
      </c>
    </row>
    <row r="329" spans="1:17" x14ac:dyDescent="0.6">
      <c r="A329">
        <v>328</v>
      </c>
      <c r="B329" s="1" t="s">
        <v>78</v>
      </c>
      <c r="C329" t="s">
        <v>7</v>
      </c>
      <c r="D329">
        <v>76</v>
      </c>
      <c r="F329">
        <v>38.1</v>
      </c>
      <c r="G329">
        <v>26.201000000000001</v>
      </c>
      <c r="H329">
        <f t="shared" ref="H329:H331" si="70">4*D329+2*F329</f>
        <v>380.2</v>
      </c>
      <c r="I329">
        <v>43</v>
      </c>
      <c r="J329">
        <f t="shared" si="63"/>
        <v>0.64482588021916099</v>
      </c>
      <c r="K329">
        <f t="shared" si="64"/>
        <v>0.85</v>
      </c>
      <c r="L329">
        <v>1</v>
      </c>
      <c r="M329">
        <f t="shared" si="62"/>
        <v>1.6120038384354503</v>
      </c>
      <c r="N329">
        <f t="shared" si="65"/>
        <v>11.873445107637377</v>
      </c>
      <c r="O329">
        <f t="shared" si="66"/>
        <v>1.6533372701902054</v>
      </c>
      <c r="P329">
        <f t="shared" si="67"/>
        <v>1.6533372701902054</v>
      </c>
      <c r="Q329">
        <f t="shared" si="68"/>
        <v>23.949615427812645</v>
      </c>
    </row>
    <row r="330" spans="1:17" x14ac:dyDescent="0.6">
      <c r="A330">
        <v>329</v>
      </c>
      <c r="B330" s="1" t="s">
        <v>78</v>
      </c>
      <c r="C330" t="s">
        <v>7</v>
      </c>
      <c r="D330">
        <v>114</v>
      </c>
      <c r="F330">
        <v>38.1</v>
      </c>
      <c r="G330">
        <v>21.8123325</v>
      </c>
      <c r="H330">
        <f t="shared" si="70"/>
        <v>532.20000000000005</v>
      </c>
      <c r="I330">
        <v>47</v>
      </c>
      <c r="J330">
        <f t="shared" si="63"/>
        <v>0.64482588021916099</v>
      </c>
      <c r="K330">
        <f t="shared" si="64"/>
        <v>0.75</v>
      </c>
      <c r="L330">
        <v>1</v>
      </c>
      <c r="M330">
        <f t="shared" si="62"/>
        <v>1.2977783665321847</v>
      </c>
      <c r="N330">
        <f t="shared" si="65"/>
        <v>6.9524152754275557</v>
      </c>
      <c r="O330">
        <f t="shared" si="66"/>
        <v>1.3310547349048047</v>
      </c>
      <c r="P330">
        <f t="shared" si="67"/>
        <v>1.3310547349048047</v>
      </c>
      <c r="Q330">
        <f t="shared" si="68"/>
        <v>26.989557269812448</v>
      </c>
    </row>
    <row r="331" spans="1:17" x14ac:dyDescent="0.6">
      <c r="A331">
        <v>330</v>
      </c>
      <c r="B331" s="1" t="s">
        <v>78</v>
      </c>
      <c r="C331" t="s">
        <v>7</v>
      </c>
      <c r="D331">
        <v>152</v>
      </c>
      <c r="F331">
        <v>38.1</v>
      </c>
      <c r="G331">
        <v>19.7162525</v>
      </c>
      <c r="H331">
        <f t="shared" si="70"/>
        <v>684.2</v>
      </c>
      <c r="I331">
        <v>51</v>
      </c>
      <c r="J331">
        <f t="shared" si="63"/>
        <v>0.64482588021916099</v>
      </c>
      <c r="K331">
        <f t="shared" si="64"/>
        <v>0.75</v>
      </c>
      <c r="L331">
        <v>1</v>
      </c>
      <c r="M331">
        <f t="shared" si="62"/>
        <v>1.2338479998475078</v>
      </c>
      <c r="N331">
        <f t="shared" si="65"/>
        <v>5.2328551825201872</v>
      </c>
      <c r="O331">
        <f t="shared" si="66"/>
        <v>1.265485128048726</v>
      </c>
      <c r="P331">
        <f t="shared" si="67"/>
        <v>1.265485128048726</v>
      </c>
      <c r="Q331">
        <f t="shared" si="68"/>
        <v>32.988691627676751</v>
      </c>
    </row>
    <row r="332" spans="1:17" x14ac:dyDescent="0.6">
      <c r="A332">
        <v>331</v>
      </c>
      <c r="B332" s="1" t="s">
        <v>78</v>
      </c>
      <c r="C332" t="s">
        <v>10</v>
      </c>
      <c r="D332">
        <v>114</v>
      </c>
      <c r="F332">
        <v>38.1</v>
      </c>
      <c r="G332">
        <v>20.960799999999999</v>
      </c>
      <c r="H332">
        <f>PI()*(D332+F332)</f>
        <v>477.83624261100749</v>
      </c>
      <c r="I332">
        <v>58</v>
      </c>
      <c r="J332">
        <f t="shared" si="63"/>
        <v>0.64482588021916099</v>
      </c>
      <c r="K332">
        <f t="shared" si="64"/>
        <v>0.75</v>
      </c>
      <c r="L332">
        <v>1</v>
      </c>
      <c r="M332">
        <f t="shared" si="62"/>
        <v>1.2721941750819725</v>
      </c>
      <c r="N332">
        <f t="shared" si="65"/>
        <v>7.5424981449243527</v>
      </c>
      <c r="O332">
        <f t="shared" si="66"/>
        <v>1.3048145385456127</v>
      </c>
      <c r="P332">
        <f t="shared" si="67"/>
        <v>1.3048145385456127</v>
      </c>
      <c r="Q332">
        <f t="shared" si="68"/>
        <v>23.754880470948631</v>
      </c>
    </row>
    <row r="333" spans="1:17" x14ac:dyDescent="0.6">
      <c r="A333">
        <v>332</v>
      </c>
      <c r="B333" s="1" t="s">
        <v>78</v>
      </c>
      <c r="C333" t="s">
        <v>7</v>
      </c>
      <c r="D333">
        <v>229</v>
      </c>
      <c r="F333">
        <v>38.1</v>
      </c>
      <c r="G333">
        <v>20.109267500000001</v>
      </c>
      <c r="H333">
        <f t="shared" ref="H333:H336" si="71">4*D333+2*F333</f>
        <v>992.2</v>
      </c>
      <c r="I333">
        <v>78</v>
      </c>
      <c r="J333">
        <f t="shared" si="63"/>
        <v>0.64482588021916099</v>
      </c>
      <c r="K333">
        <f t="shared" si="64"/>
        <v>0.75</v>
      </c>
      <c r="L333">
        <v>1</v>
      </c>
      <c r="M333">
        <f t="shared" si="62"/>
        <v>1.2460848083441414</v>
      </c>
      <c r="N333">
        <f t="shared" si="65"/>
        <v>3.7731899408648717</v>
      </c>
      <c r="O333">
        <f t="shared" si="66"/>
        <v>1.2780357008657859</v>
      </c>
      <c r="P333">
        <f t="shared" si="67"/>
        <v>1.2780357008657859</v>
      </c>
      <c r="Q333">
        <f t="shared" si="68"/>
        <v>48.313353553403154</v>
      </c>
    </row>
    <row r="334" spans="1:17" x14ac:dyDescent="0.6">
      <c r="A334">
        <v>333</v>
      </c>
      <c r="B334" s="1" t="s">
        <v>78</v>
      </c>
      <c r="C334" t="s">
        <v>7</v>
      </c>
      <c r="D334">
        <v>305</v>
      </c>
      <c r="F334">
        <v>38.1</v>
      </c>
      <c r="G334">
        <v>19.454242499999999</v>
      </c>
      <c r="H334">
        <f t="shared" si="71"/>
        <v>1296.2</v>
      </c>
      <c r="I334">
        <v>90</v>
      </c>
      <c r="J334">
        <f t="shared" si="63"/>
        <v>0.64482588021916099</v>
      </c>
      <c r="K334">
        <f t="shared" si="64"/>
        <v>0.75</v>
      </c>
      <c r="L334">
        <v>1</v>
      </c>
      <c r="M334">
        <f t="shared" si="62"/>
        <v>1.225622254811322</v>
      </c>
      <c r="N334">
        <f t="shared" si="65"/>
        <v>2.9366435681125629</v>
      </c>
      <c r="O334">
        <f t="shared" si="66"/>
        <v>1.2570484664731507</v>
      </c>
      <c r="P334">
        <f t="shared" si="67"/>
        <v>1.2570484664731507</v>
      </c>
      <c r="Q334">
        <f t="shared" si="68"/>
        <v>62.079615067439178</v>
      </c>
    </row>
    <row r="335" spans="1:17" x14ac:dyDescent="0.6">
      <c r="A335">
        <v>334</v>
      </c>
      <c r="B335" s="1" t="s">
        <v>78</v>
      </c>
      <c r="C335" t="s">
        <v>7</v>
      </c>
      <c r="D335">
        <v>76</v>
      </c>
      <c r="F335">
        <v>38.1</v>
      </c>
      <c r="G335">
        <v>22.0743425</v>
      </c>
      <c r="H335">
        <f t="shared" si="71"/>
        <v>380.2</v>
      </c>
      <c r="I335">
        <v>50</v>
      </c>
      <c r="J335">
        <f t="shared" si="63"/>
        <v>0.64482588021916099</v>
      </c>
      <c r="K335">
        <f t="shared" si="64"/>
        <v>0.75</v>
      </c>
      <c r="L335">
        <v>1</v>
      </c>
      <c r="M335">
        <f t="shared" si="62"/>
        <v>1.305549563930015</v>
      </c>
      <c r="N335">
        <f t="shared" si="65"/>
        <v>9.6162122651444708</v>
      </c>
      <c r="O335">
        <f t="shared" si="66"/>
        <v>1.3390251937743742</v>
      </c>
      <c r="P335">
        <f t="shared" si="67"/>
        <v>1.3390251937743742</v>
      </c>
      <c r="Q335">
        <f t="shared" si="68"/>
        <v>19.396610127441953</v>
      </c>
    </row>
    <row r="336" spans="1:17" x14ac:dyDescent="0.6">
      <c r="A336">
        <v>335</v>
      </c>
      <c r="B336" s="1" t="s">
        <v>78</v>
      </c>
      <c r="C336" t="s">
        <v>7</v>
      </c>
      <c r="D336">
        <v>152</v>
      </c>
      <c r="F336">
        <v>38.1</v>
      </c>
      <c r="G336">
        <v>20.567785000000001</v>
      </c>
      <c r="H336">
        <f t="shared" si="71"/>
        <v>684.2</v>
      </c>
      <c r="I336">
        <v>69</v>
      </c>
      <c r="J336">
        <f t="shared" si="63"/>
        <v>0.64482588021916099</v>
      </c>
      <c r="K336">
        <f t="shared" si="64"/>
        <v>0.75</v>
      </c>
      <c r="L336">
        <v>1</v>
      </c>
      <c r="M336">
        <f t="shared" si="62"/>
        <v>1.2602109173682559</v>
      </c>
      <c r="N336">
        <f t="shared" si="65"/>
        <v>5.34466257661723</v>
      </c>
      <c r="O336">
        <f t="shared" si="66"/>
        <v>1.2925240178135957</v>
      </c>
      <c r="P336">
        <f t="shared" si="67"/>
        <v>1.2925240178135957</v>
      </c>
      <c r="Q336">
        <f t="shared" si="68"/>
        <v>33.693541946845173</v>
      </c>
    </row>
    <row r="337" spans="1:17" x14ac:dyDescent="0.6">
      <c r="A337">
        <v>336</v>
      </c>
      <c r="B337" s="1" t="s">
        <v>78</v>
      </c>
      <c r="C337" t="s">
        <v>10</v>
      </c>
      <c r="D337">
        <v>224</v>
      </c>
      <c r="F337">
        <v>38.1</v>
      </c>
      <c r="G337">
        <v>24.432432500000001</v>
      </c>
      <c r="H337">
        <f>PI()*(D337+F337)</f>
        <v>823.41143450588481</v>
      </c>
      <c r="I337">
        <v>96</v>
      </c>
      <c r="J337">
        <f t="shared" si="63"/>
        <v>0.64482588021916099</v>
      </c>
      <c r="K337">
        <f t="shared" si="64"/>
        <v>0.85</v>
      </c>
      <c r="L337">
        <v>1</v>
      </c>
      <c r="M337">
        <f t="shared" si="62"/>
        <v>1.5566482646408302</v>
      </c>
      <c r="N337">
        <f t="shared" si="65"/>
        <v>5.5734468671832769</v>
      </c>
      <c r="O337">
        <f t="shared" si="66"/>
        <v>1.5965623227085437</v>
      </c>
      <c r="P337">
        <f t="shared" si="67"/>
        <v>1.5965623227085437</v>
      </c>
      <c r="Q337">
        <f t="shared" si="68"/>
        <v>50.087314319182546</v>
      </c>
    </row>
    <row r="338" spans="1:17" x14ac:dyDescent="0.6">
      <c r="A338">
        <v>337</v>
      </c>
      <c r="B338" s="1" t="s">
        <v>78</v>
      </c>
      <c r="C338" t="s">
        <v>7</v>
      </c>
      <c r="D338">
        <v>305</v>
      </c>
      <c r="F338">
        <v>38.1</v>
      </c>
      <c r="G338">
        <v>24.956452500000001</v>
      </c>
      <c r="H338">
        <f>4*D338+2*F338</f>
        <v>1296.2</v>
      </c>
      <c r="I338">
        <v>114</v>
      </c>
      <c r="J338">
        <f t="shared" si="63"/>
        <v>0.64482588021916099</v>
      </c>
      <c r="K338">
        <f t="shared" si="64"/>
        <v>0.85</v>
      </c>
      <c r="L338">
        <v>1</v>
      </c>
      <c r="M338">
        <f t="shared" si="62"/>
        <v>1.5732529826165658</v>
      </c>
      <c r="N338">
        <f t="shared" si="65"/>
        <v>3.7695817241227236</v>
      </c>
      <c r="O338">
        <f t="shared" si="66"/>
        <v>1.6135928026836572</v>
      </c>
      <c r="P338">
        <f t="shared" si="67"/>
        <v>1.6135928026836572</v>
      </c>
      <c r="Q338">
        <f t="shared" si="68"/>
        <v>79.687635550948997</v>
      </c>
    </row>
    <row r="339" spans="1:17" x14ac:dyDescent="0.6">
      <c r="A339">
        <v>338</v>
      </c>
      <c r="B339" s="1" t="s">
        <v>78</v>
      </c>
      <c r="C339" t="s">
        <v>10</v>
      </c>
      <c r="D339">
        <v>76</v>
      </c>
      <c r="F339">
        <v>38.1</v>
      </c>
      <c r="G339">
        <v>18.930222499999999</v>
      </c>
      <c r="H339">
        <f t="shared" ref="H339:H341" si="72">PI()*(D339+F339)</f>
        <v>358.45572177459536</v>
      </c>
      <c r="I339">
        <v>39</v>
      </c>
      <c r="J339">
        <f t="shared" si="63"/>
        <v>0.64482588021916099</v>
      </c>
      <c r="K339">
        <f t="shared" si="64"/>
        <v>0.75</v>
      </c>
      <c r="L339">
        <v>1</v>
      </c>
      <c r="M339">
        <f t="shared" si="62"/>
        <v>1.2090028788265876</v>
      </c>
      <c r="N339">
        <f t="shared" si="65"/>
        <v>9.4208285774705978</v>
      </c>
      <c r="O339">
        <f t="shared" si="66"/>
        <v>1.2400029526426541</v>
      </c>
      <c r="P339">
        <f t="shared" si="67"/>
        <v>1.2400029526426541</v>
      </c>
      <c r="Q339">
        <f t="shared" si="68"/>
        <v>16.934922444240989</v>
      </c>
    </row>
    <row r="340" spans="1:17" x14ac:dyDescent="0.6">
      <c r="A340">
        <v>339</v>
      </c>
      <c r="B340" s="1" t="s">
        <v>78</v>
      </c>
      <c r="C340" t="s">
        <v>10</v>
      </c>
      <c r="D340">
        <v>154</v>
      </c>
      <c r="F340">
        <v>38.1</v>
      </c>
      <c r="G340">
        <v>21.05905375</v>
      </c>
      <c r="H340">
        <f t="shared" si="72"/>
        <v>603.49994875459925</v>
      </c>
      <c r="I340">
        <v>73</v>
      </c>
      <c r="J340">
        <f t="shared" si="63"/>
        <v>0.64482588021916099</v>
      </c>
      <c r="K340">
        <f t="shared" si="64"/>
        <v>0.75</v>
      </c>
      <c r="L340">
        <v>1</v>
      </c>
      <c r="M340">
        <f t="shared" si="62"/>
        <v>1.2751723941597426</v>
      </c>
      <c r="N340">
        <f t="shared" si="65"/>
        <v>6.0744503155390426</v>
      </c>
      <c r="O340">
        <f t="shared" si="66"/>
        <v>1.3078691222151206</v>
      </c>
      <c r="P340">
        <f t="shared" si="67"/>
        <v>1.3078691222151206</v>
      </c>
      <c r="Q340">
        <f t="shared" si="68"/>
        <v>30.072289927736282</v>
      </c>
    </row>
    <row r="341" spans="1:17" x14ac:dyDescent="0.6">
      <c r="A341">
        <v>340</v>
      </c>
      <c r="B341" s="1" t="s">
        <v>78</v>
      </c>
      <c r="C341" t="s">
        <v>10</v>
      </c>
      <c r="D341">
        <v>302</v>
      </c>
      <c r="F341">
        <v>38.1</v>
      </c>
      <c r="G341">
        <v>22.79487</v>
      </c>
      <c r="H341">
        <f t="shared" si="72"/>
        <v>1068.4556614858886</v>
      </c>
      <c r="I341">
        <v>101</v>
      </c>
      <c r="J341">
        <f t="shared" si="63"/>
        <v>0.64482588021916099</v>
      </c>
      <c r="K341">
        <f t="shared" si="64"/>
        <v>0.75</v>
      </c>
      <c r="L341">
        <v>1</v>
      </c>
      <c r="M341">
        <f t="shared" si="62"/>
        <v>1.3266856620107281</v>
      </c>
      <c r="N341">
        <f t="shared" si="65"/>
        <v>3.762102868597756</v>
      </c>
      <c r="O341">
        <f t="shared" si="66"/>
        <v>1.3607032430879262</v>
      </c>
      <c r="P341">
        <f t="shared" si="67"/>
        <v>1.3607032430879262</v>
      </c>
      <c r="Q341">
        <f t="shared" si="68"/>
        <v>55.391726288189112</v>
      </c>
    </row>
    <row r="342" spans="1:17" x14ac:dyDescent="0.6">
      <c r="A342">
        <v>341</v>
      </c>
      <c r="B342" s="1" t="s">
        <v>78</v>
      </c>
      <c r="C342" t="s">
        <v>7</v>
      </c>
      <c r="D342">
        <v>229</v>
      </c>
      <c r="F342">
        <v>38.1</v>
      </c>
      <c r="G342">
        <v>19.585247500000001</v>
      </c>
      <c r="H342">
        <f>4*D342+2*F342</f>
        <v>992.2</v>
      </c>
      <c r="I342">
        <v>80</v>
      </c>
      <c r="J342">
        <f t="shared" si="63"/>
        <v>0.64482588021916099</v>
      </c>
      <c r="K342">
        <f t="shared" si="64"/>
        <v>0.75</v>
      </c>
      <c r="L342">
        <v>1</v>
      </c>
      <c r="M342">
        <f t="shared" si="62"/>
        <v>1.2297420051003556</v>
      </c>
      <c r="N342">
        <f t="shared" si="65"/>
        <v>3.72370334060134</v>
      </c>
      <c r="O342">
        <f t="shared" si="66"/>
        <v>1.2612738513849799</v>
      </c>
      <c r="P342">
        <f t="shared" si="67"/>
        <v>1.2612738513849799</v>
      </c>
      <c r="Q342">
        <f t="shared" si="68"/>
        <v>47.679708374613156</v>
      </c>
    </row>
    <row r="343" spans="1:17" x14ac:dyDescent="0.6">
      <c r="A343">
        <v>342</v>
      </c>
      <c r="B343" s="1" t="s">
        <v>78</v>
      </c>
      <c r="C343" t="s">
        <v>10</v>
      </c>
      <c r="D343">
        <v>154</v>
      </c>
      <c r="F343">
        <v>38.1</v>
      </c>
      <c r="G343">
        <v>20.436779999999999</v>
      </c>
      <c r="H343">
        <f>PI()*(D343+F343)</f>
        <v>603.49994875459925</v>
      </c>
      <c r="I343">
        <v>97</v>
      </c>
      <c r="J343">
        <f t="shared" si="63"/>
        <v>0.64482588021916099</v>
      </c>
      <c r="K343">
        <f t="shared" si="64"/>
        <v>0.75</v>
      </c>
      <c r="L343">
        <v>1</v>
      </c>
      <c r="M343">
        <f t="shared" si="62"/>
        <v>1.2561910955880431</v>
      </c>
      <c r="N343">
        <f t="shared" si="65"/>
        <v>5.9840304196674907</v>
      </c>
      <c r="O343">
        <f t="shared" si="66"/>
        <v>1.2884011236800441</v>
      </c>
      <c r="P343">
        <f t="shared" si="67"/>
        <v>1.2884011236800441</v>
      </c>
      <c r="Q343">
        <f t="shared" si="68"/>
        <v>29.624655461630066</v>
      </c>
    </row>
    <row r="344" spans="1:17" x14ac:dyDescent="0.6">
      <c r="A344">
        <v>343</v>
      </c>
      <c r="B344" s="2" t="s">
        <v>79</v>
      </c>
      <c r="C344" t="s">
        <v>12</v>
      </c>
      <c r="D344">
        <v>152</v>
      </c>
      <c r="E344">
        <v>457</v>
      </c>
      <c r="F344">
        <v>117.348</v>
      </c>
      <c r="G344">
        <v>24.605</v>
      </c>
      <c r="H344">
        <f t="shared" ref="H344:H346" si="73">2*D344+2*E344+2*F344</f>
        <v>1452.6959999999999</v>
      </c>
      <c r="I344">
        <v>320</v>
      </c>
      <c r="J344">
        <f t="shared" si="63"/>
        <v>0.39629531072358726</v>
      </c>
      <c r="K344">
        <f t="shared" si="64"/>
        <v>0.85</v>
      </c>
      <c r="L344">
        <f t="shared" ref="L344:L346" si="74">D344/E344</f>
        <v>0.33260393873085337</v>
      </c>
      <c r="M344">
        <f t="shared" si="62"/>
        <v>3.651835320037534</v>
      </c>
      <c r="N344">
        <f t="shared" si="65"/>
        <v>9.3760452350660017</v>
      </c>
      <c r="O344">
        <f t="shared" si="66"/>
        <v>1.6021907018204795</v>
      </c>
      <c r="P344">
        <f t="shared" si="67"/>
        <v>1.6021907018204795</v>
      </c>
      <c r="Q344">
        <f t="shared" si="68"/>
        <v>273.12700339757356</v>
      </c>
    </row>
    <row r="345" spans="1:17" x14ac:dyDescent="0.6">
      <c r="A345">
        <v>344</v>
      </c>
      <c r="B345" s="2" t="s">
        <v>79</v>
      </c>
      <c r="C345" t="s">
        <v>12</v>
      </c>
      <c r="D345">
        <v>114</v>
      </c>
      <c r="E345">
        <v>495</v>
      </c>
      <c r="F345">
        <v>120.65</v>
      </c>
      <c r="G345">
        <v>24.795000000000002</v>
      </c>
      <c r="H345">
        <f t="shared" si="73"/>
        <v>1459.3</v>
      </c>
      <c r="I345">
        <v>314</v>
      </c>
      <c r="J345">
        <f t="shared" si="63"/>
        <v>0.39125535152336954</v>
      </c>
      <c r="K345">
        <f t="shared" si="64"/>
        <v>0.85</v>
      </c>
      <c r="L345">
        <f t="shared" si="74"/>
        <v>0.23030303030303031</v>
      </c>
      <c r="M345">
        <f t="shared" si="62"/>
        <v>5.0621168013193856</v>
      </c>
      <c r="N345">
        <f t="shared" si="65"/>
        <v>9.6209519834996708</v>
      </c>
      <c r="O345">
        <f t="shared" si="66"/>
        <v>1.60836486998442</v>
      </c>
      <c r="P345">
        <f t="shared" si="67"/>
        <v>1.60836486998442</v>
      </c>
      <c r="Q345">
        <f t="shared" si="68"/>
        <v>283.17602902779106</v>
      </c>
    </row>
    <row r="346" spans="1:17" x14ac:dyDescent="0.6">
      <c r="A346">
        <v>345</v>
      </c>
      <c r="B346" s="2" t="s">
        <v>79</v>
      </c>
      <c r="C346" t="s">
        <v>12</v>
      </c>
      <c r="D346">
        <v>152</v>
      </c>
      <c r="E346">
        <v>305</v>
      </c>
      <c r="F346">
        <v>120.65</v>
      </c>
      <c r="G346">
        <v>28.024999999999999</v>
      </c>
      <c r="H346">
        <f t="shared" si="73"/>
        <v>1155.3</v>
      </c>
      <c r="I346">
        <v>315</v>
      </c>
      <c r="J346">
        <f t="shared" si="63"/>
        <v>0.39125535152336954</v>
      </c>
      <c r="K346">
        <f t="shared" si="64"/>
        <v>0.85</v>
      </c>
      <c r="L346">
        <f t="shared" si="74"/>
        <v>0.49836065573770494</v>
      </c>
      <c r="M346">
        <f t="shared" si="62"/>
        <v>2.7859292129575635</v>
      </c>
      <c r="N346">
        <f t="shared" si="65"/>
        <v>12.773653542381881</v>
      </c>
      <c r="O346">
        <f t="shared" si="66"/>
        <v>1.7099181924875821</v>
      </c>
      <c r="P346">
        <f t="shared" si="67"/>
        <v>1.7099181924875821</v>
      </c>
      <c r="Q346">
        <f t="shared" si="68"/>
        <v>238.34027305076603</v>
      </c>
    </row>
    <row r="347" spans="1:17" x14ac:dyDescent="0.6">
      <c r="A347">
        <v>346</v>
      </c>
      <c r="B347" s="2" t="s">
        <v>80</v>
      </c>
      <c r="C347" t="s">
        <v>7</v>
      </c>
      <c r="D347">
        <v>102</v>
      </c>
      <c r="F347">
        <v>45.72</v>
      </c>
      <c r="G347">
        <v>31.235039499999999</v>
      </c>
      <c r="H347">
        <f t="shared" ref="H347:H354" si="75">4*D347+2*F347</f>
        <v>499.44</v>
      </c>
      <c r="I347">
        <v>65</v>
      </c>
      <c r="J347">
        <f t="shared" si="63"/>
        <v>0.59911396650987292</v>
      </c>
      <c r="K347">
        <f t="shared" si="64"/>
        <v>0.85</v>
      </c>
      <c r="L347">
        <v>1</v>
      </c>
      <c r="M347">
        <f t="shared" si="62"/>
        <v>1.7600628154893285</v>
      </c>
      <c r="N347">
        <f t="shared" si="65"/>
        <v>11.893396301242662</v>
      </c>
      <c r="O347">
        <f t="shared" si="66"/>
        <v>1.8051926312711062</v>
      </c>
      <c r="P347">
        <f t="shared" si="67"/>
        <v>1.8051926312711062</v>
      </c>
      <c r="Q347">
        <f t="shared" si="68"/>
        <v>41.220484842880531</v>
      </c>
    </row>
    <row r="348" spans="1:17" x14ac:dyDescent="0.6">
      <c r="A348">
        <v>347</v>
      </c>
      <c r="B348" s="2" t="s">
        <v>80</v>
      </c>
      <c r="C348" t="s">
        <v>7</v>
      </c>
      <c r="D348">
        <v>102</v>
      </c>
      <c r="F348">
        <v>45.72</v>
      </c>
      <c r="G348">
        <v>25.712144500000001</v>
      </c>
      <c r="H348">
        <f t="shared" si="75"/>
        <v>499.44</v>
      </c>
      <c r="I348">
        <v>63</v>
      </c>
      <c r="J348">
        <f t="shared" si="63"/>
        <v>0.59911396650987292</v>
      </c>
      <c r="K348">
        <f t="shared" si="64"/>
        <v>0.85</v>
      </c>
      <c r="L348">
        <v>1</v>
      </c>
      <c r="M348">
        <f t="shared" si="62"/>
        <v>1.5968947316012061</v>
      </c>
      <c r="N348">
        <f t="shared" si="65"/>
        <v>10.790809127468231</v>
      </c>
      <c r="O348">
        <f t="shared" si="66"/>
        <v>1.6378407503602115</v>
      </c>
      <c r="P348">
        <f t="shared" si="67"/>
        <v>1.6378407503602115</v>
      </c>
      <c r="Q348">
        <f t="shared" si="68"/>
        <v>37.399105588934816</v>
      </c>
    </row>
    <row r="349" spans="1:17" x14ac:dyDescent="0.6">
      <c r="A349">
        <v>348</v>
      </c>
      <c r="B349" s="2" t="s">
        <v>80</v>
      </c>
      <c r="C349" t="s">
        <v>7</v>
      </c>
      <c r="D349">
        <v>102</v>
      </c>
      <c r="F349">
        <v>45.72</v>
      </c>
      <c r="G349">
        <v>25.712144500000001</v>
      </c>
      <c r="H349">
        <f t="shared" si="75"/>
        <v>499.44</v>
      </c>
      <c r="I349">
        <v>61</v>
      </c>
      <c r="J349">
        <f t="shared" si="63"/>
        <v>0.59911396650987292</v>
      </c>
      <c r="K349">
        <f t="shared" si="64"/>
        <v>0.85</v>
      </c>
      <c r="L349">
        <v>1</v>
      </c>
      <c r="M349">
        <f t="shared" si="62"/>
        <v>1.5968947316012061</v>
      </c>
      <c r="N349">
        <f t="shared" si="65"/>
        <v>10.790809127468231</v>
      </c>
      <c r="O349">
        <f t="shared" si="66"/>
        <v>1.6378407503602115</v>
      </c>
      <c r="P349">
        <f t="shared" si="67"/>
        <v>1.6378407503602115</v>
      </c>
      <c r="Q349">
        <f t="shared" si="68"/>
        <v>37.399105588934816</v>
      </c>
    </row>
    <row r="350" spans="1:17" x14ac:dyDescent="0.6">
      <c r="A350">
        <v>349</v>
      </c>
      <c r="B350" s="2" t="s">
        <v>80</v>
      </c>
      <c r="C350" t="s">
        <v>7</v>
      </c>
      <c r="D350">
        <v>102</v>
      </c>
      <c r="F350">
        <v>45.72</v>
      </c>
      <c r="G350">
        <v>25.834875499999999</v>
      </c>
      <c r="H350">
        <f t="shared" si="75"/>
        <v>499.44</v>
      </c>
      <c r="I350">
        <v>64</v>
      </c>
      <c r="J350">
        <f t="shared" si="63"/>
        <v>0.59911396650987292</v>
      </c>
      <c r="K350">
        <f t="shared" si="64"/>
        <v>0.85</v>
      </c>
      <c r="L350">
        <v>1</v>
      </c>
      <c r="M350">
        <f t="shared" si="62"/>
        <v>1.6007013990564571</v>
      </c>
      <c r="N350">
        <f t="shared" si="65"/>
        <v>10.816532189300974</v>
      </c>
      <c r="O350">
        <f t="shared" si="66"/>
        <v>1.6417450246732894</v>
      </c>
      <c r="P350">
        <f t="shared" si="67"/>
        <v>1.6417450246732894</v>
      </c>
      <c r="Q350">
        <f t="shared" si="68"/>
        <v>37.488257337815682</v>
      </c>
    </row>
    <row r="351" spans="1:17" x14ac:dyDescent="0.6">
      <c r="A351">
        <v>350</v>
      </c>
      <c r="B351" s="2" t="s">
        <v>80</v>
      </c>
      <c r="C351" t="s">
        <v>7</v>
      </c>
      <c r="D351">
        <v>102</v>
      </c>
      <c r="F351">
        <v>45.72</v>
      </c>
      <c r="G351">
        <v>27.921302499999999</v>
      </c>
      <c r="H351">
        <f t="shared" si="75"/>
        <v>499.44</v>
      </c>
      <c r="I351">
        <v>88</v>
      </c>
      <c r="J351">
        <f t="shared" si="63"/>
        <v>0.59911396650987292</v>
      </c>
      <c r="K351">
        <f t="shared" si="64"/>
        <v>0.85</v>
      </c>
      <c r="L351">
        <v>1</v>
      </c>
      <c r="M351">
        <f t="shared" si="62"/>
        <v>1.6640829655028326</v>
      </c>
      <c r="N351">
        <f t="shared" si="65"/>
        <v>11.244824907780293</v>
      </c>
      <c r="O351">
        <f t="shared" si="66"/>
        <v>1.7067517594900847</v>
      </c>
      <c r="P351">
        <f t="shared" si="67"/>
        <v>1.7067517594900847</v>
      </c>
      <c r="Q351">
        <f t="shared" si="68"/>
        <v>38.97264691529476</v>
      </c>
    </row>
    <row r="352" spans="1:17" x14ac:dyDescent="0.6">
      <c r="A352">
        <v>351</v>
      </c>
      <c r="B352" s="2" t="s">
        <v>80</v>
      </c>
      <c r="C352" t="s">
        <v>7</v>
      </c>
      <c r="D352">
        <v>102</v>
      </c>
      <c r="F352">
        <v>45.72</v>
      </c>
      <c r="G352">
        <v>26.325799499999999</v>
      </c>
      <c r="H352">
        <f t="shared" si="75"/>
        <v>499.44</v>
      </c>
      <c r="I352">
        <v>87</v>
      </c>
      <c r="J352">
        <f t="shared" si="63"/>
        <v>0.59911396650987292</v>
      </c>
      <c r="K352">
        <f t="shared" si="64"/>
        <v>0.85</v>
      </c>
      <c r="L352">
        <v>1</v>
      </c>
      <c r="M352">
        <f t="shared" si="62"/>
        <v>1.615838392118391</v>
      </c>
      <c r="N352">
        <f t="shared" si="65"/>
        <v>10.918818457558215</v>
      </c>
      <c r="O352">
        <f t="shared" si="66"/>
        <v>1.6572701457624521</v>
      </c>
      <c r="P352">
        <f t="shared" si="67"/>
        <v>1.6572701457624521</v>
      </c>
      <c r="Q352">
        <f t="shared" si="68"/>
        <v>37.842764113133661</v>
      </c>
    </row>
    <row r="353" spans="1:17" x14ac:dyDescent="0.6">
      <c r="A353">
        <v>352</v>
      </c>
      <c r="B353" s="2" t="s">
        <v>80</v>
      </c>
      <c r="C353" t="s">
        <v>7</v>
      </c>
      <c r="D353">
        <v>102</v>
      </c>
      <c r="F353">
        <v>45.72</v>
      </c>
      <c r="G353">
        <v>27.000820000000001</v>
      </c>
      <c r="H353">
        <f t="shared" si="75"/>
        <v>499.44</v>
      </c>
      <c r="I353">
        <v>67</v>
      </c>
      <c r="J353">
        <f t="shared" si="63"/>
        <v>0.59911396650987292</v>
      </c>
      <c r="K353">
        <f t="shared" si="64"/>
        <v>0.85</v>
      </c>
      <c r="L353">
        <v>1</v>
      </c>
      <c r="M353">
        <f t="shared" si="62"/>
        <v>1.6364231505434688</v>
      </c>
      <c r="N353">
        <f t="shared" si="65"/>
        <v>11.057917294008965</v>
      </c>
      <c r="O353">
        <f t="shared" si="66"/>
        <v>1.678382718506122</v>
      </c>
      <c r="P353">
        <f t="shared" si="67"/>
        <v>1.678382718506122</v>
      </c>
      <c r="Q353">
        <f t="shared" si="68"/>
        <v>38.324856976631487</v>
      </c>
    </row>
    <row r="354" spans="1:17" x14ac:dyDescent="0.6">
      <c r="A354">
        <v>353</v>
      </c>
      <c r="B354" s="2" t="s">
        <v>80</v>
      </c>
      <c r="C354" t="s">
        <v>7</v>
      </c>
      <c r="D354">
        <v>102</v>
      </c>
      <c r="F354">
        <v>45.72</v>
      </c>
      <c r="G354">
        <v>25.773510000000002</v>
      </c>
      <c r="H354">
        <f t="shared" si="75"/>
        <v>499.44</v>
      </c>
      <c r="I354">
        <v>83</v>
      </c>
      <c r="J354">
        <f t="shared" si="63"/>
        <v>0.59911396650987292</v>
      </c>
      <c r="K354">
        <f t="shared" si="64"/>
        <v>0.85</v>
      </c>
      <c r="L354">
        <v>1</v>
      </c>
      <c r="M354">
        <f t="shared" si="62"/>
        <v>1.5987991982667786</v>
      </c>
      <c r="N354">
        <f t="shared" si="65"/>
        <v>10.803678314065905</v>
      </c>
      <c r="O354">
        <f t="shared" si="66"/>
        <v>1.6397940495043883</v>
      </c>
      <c r="P354">
        <f t="shared" si="67"/>
        <v>1.6397940495043883</v>
      </c>
      <c r="Q354">
        <f t="shared" si="68"/>
        <v>37.443707996662042</v>
      </c>
    </row>
    <row r="355" spans="1:17" x14ac:dyDescent="0.6">
      <c r="A355">
        <v>354</v>
      </c>
      <c r="B355" s="1" t="s">
        <v>24</v>
      </c>
      <c r="C355" t="s">
        <v>10</v>
      </c>
      <c r="D355">
        <v>254</v>
      </c>
      <c r="F355">
        <v>38.1</v>
      </c>
      <c r="G355">
        <v>28.690094999999999</v>
      </c>
      <c r="H355">
        <f t="shared" ref="H355:H372" si="76">PI()*(D355+F355)</f>
        <v>917.65921411357863</v>
      </c>
      <c r="I355">
        <v>67</v>
      </c>
      <c r="J355">
        <f t="shared" si="63"/>
        <v>0.64482588021916099</v>
      </c>
      <c r="K355">
        <f t="shared" si="64"/>
        <v>0.85</v>
      </c>
      <c r="L355">
        <v>1</v>
      </c>
      <c r="M355">
        <f t="shared" si="62"/>
        <v>1.6868370492635127</v>
      </c>
      <c r="N355">
        <f t="shared" si="65"/>
        <v>5.4770333336904615</v>
      </c>
      <c r="O355">
        <f t="shared" si="66"/>
        <v>1.7300892812959103</v>
      </c>
      <c r="P355">
        <f t="shared" si="67"/>
        <v>1.7300892812959103</v>
      </c>
      <c r="Q355">
        <f t="shared" si="68"/>
        <v>60.488793305394616</v>
      </c>
    </row>
    <row r="356" spans="1:17" x14ac:dyDescent="0.6">
      <c r="A356">
        <v>355</v>
      </c>
      <c r="B356" s="1" t="s">
        <v>24</v>
      </c>
      <c r="C356" t="s">
        <v>10</v>
      </c>
      <c r="D356">
        <v>203</v>
      </c>
      <c r="F356">
        <v>38.1</v>
      </c>
      <c r="G356">
        <v>28.690094999999999</v>
      </c>
      <c r="H356">
        <f t="shared" si="76"/>
        <v>757.43798878049915</v>
      </c>
      <c r="I356">
        <v>56</v>
      </c>
      <c r="J356">
        <f t="shared" si="63"/>
        <v>0.64482588021916099</v>
      </c>
      <c r="K356">
        <f t="shared" si="64"/>
        <v>0.85</v>
      </c>
      <c r="L356">
        <v>1</v>
      </c>
      <c r="M356">
        <f t="shared" si="62"/>
        <v>1.6868370492635127</v>
      </c>
      <c r="N356">
        <f t="shared" si="65"/>
        <v>6.5166536994338609</v>
      </c>
      <c r="O356">
        <f t="shared" si="66"/>
        <v>1.7300892812959103</v>
      </c>
      <c r="P356">
        <f t="shared" si="67"/>
        <v>1.7300892812959103</v>
      </c>
      <c r="Q356">
        <f t="shared" si="68"/>
        <v>49.927586668711548</v>
      </c>
    </row>
    <row r="357" spans="1:17" x14ac:dyDescent="0.6">
      <c r="A357">
        <v>356</v>
      </c>
      <c r="B357" s="1" t="s">
        <v>24</v>
      </c>
      <c r="C357" t="s">
        <v>10</v>
      </c>
      <c r="D357">
        <v>152</v>
      </c>
      <c r="F357">
        <v>38.1</v>
      </c>
      <c r="G357">
        <v>28.690094999999999</v>
      </c>
      <c r="H357">
        <f t="shared" si="76"/>
        <v>597.21676344741968</v>
      </c>
      <c r="I357">
        <v>58</v>
      </c>
      <c r="J357">
        <f t="shared" si="63"/>
        <v>0.64482588021916099</v>
      </c>
      <c r="K357">
        <f t="shared" si="64"/>
        <v>0.85</v>
      </c>
      <c r="L357">
        <v>1</v>
      </c>
      <c r="M357">
        <f t="shared" si="62"/>
        <v>1.6868370492635127</v>
      </c>
      <c r="N357">
        <f t="shared" si="65"/>
        <v>8.114092462367303</v>
      </c>
      <c r="O357">
        <f t="shared" si="66"/>
        <v>1.7300892812959103</v>
      </c>
      <c r="P357">
        <f t="shared" si="67"/>
        <v>1.7300892812959103</v>
      </c>
      <c r="Q357">
        <f t="shared" si="68"/>
        <v>39.366380032028474</v>
      </c>
    </row>
    <row r="358" spans="1:17" x14ac:dyDescent="0.6">
      <c r="A358">
        <v>357</v>
      </c>
      <c r="B358" s="1" t="s">
        <v>24</v>
      </c>
      <c r="C358" t="s">
        <v>10</v>
      </c>
      <c r="D358">
        <v>114</v>
      </c>
      <c r="F358">
        <v>38.1</v>
      </c>
      <c r="G358">
        <v>35.043837500000002</v>
      </c>
      <c r="H358">
        <f t="shared" si="76"/>
        <v>477.83624261100749</v>
      </c>
      <c r="I358">
        <v>59</v>
      </c>
      <c r="J358">
        <f t="shared" si="63"/>
        <v>0.64482588021916099</v>
      </c>
      <c r="K358">
        <f t="shared" si="64"/>
        <v>1</v>
      </c>
      <c r="L358">
        <v>1</v>
      </c>
      <c r="M358">
        <f t="shared" si="62"/>
        <v>2.1932798121955113</v>
      </c>
      <c r="N358">
        <f t="shared" si="65"/>
        <v>13.00336791254272</v>
      </c>
      <c r="O358">
        <f t="shared" si="66"/>
        <v>2.2495177560979598</v>
      </c>
      <c r="P358">
        <f t="shared" si="67"/>
        <v>2.2495177560979598</v>
      </c>
      <c r="Q358">
        <f t="shared" si="68"/>
        <v>40.953732377128631</v>
      </c>
    </row>
    <row r="359" spans="1:17" x14ac:dyDescent="0.6">
      <c r="A359">
        <v>358</v>
      </c>
      <c r="B359" s="1" t="s">
        <v>24</v>
      </c>
      <c r="C359" t="s">
        <v>10</v>
      </c>
      <c r="D359">
        <v>114</v>
      </c>
      <c r="F359">
        <v>38.1</v>
      </c>
      <c r="G359">
        <v>35.043837500000002</v>
      </c>
      <c r="H359">
        <f t="shared" si="76"/>
        <v>477.83624261100749</v>
      </c>
      <c r="I359">
        <v>83</v>
      </c>
      <c r="J359">
        <f t="shared" si="63"/>
        <v>0.64482588021916099</v>
      </c>
      <c r="K359">
        <f t="shared" si="64"/>
        <v>1</v>
      </c>
      <c r="L359">
        <v>1</v>
      </c>
      <c r="M359">
        <f t="shared" si="62"/>
        <v>2.1932798121955113</v>
      </c>
      <c r="N359">
        <f t="shared" si="65"/>
        <v>13.00336791254272</v>
      </c>
      <c r="O359">
        <f t="shared" si="66"/>
        <v>2.2495177560979598</v>
      </c>
      <c r="P359">
        <f t="shared" si="67"/>
        <v>2.2495177560979598</v>
      </c>
      <c r="Q359">
        <f t="shared" si="68"/>
        <v>40.953732377128631</v>
      </c>
    </row>
    <row r="360" spans="1:17" x14ac:dyDescent="0.6">
      <c r="A360">
        <v>359</v>
      </c>
      <c r="B360" s="1" t="s">
        <v>24</v>
      </c>
      <c r="C360" t="s">
        <v>10</v>
      </c>
      <c r="D360">
        <v>114</v>
      </c>
      <c r="F360">
        <v>38.1</v>
      </c>
      <c r="G360">
        <v>35.043837500000002</v>
      </c>
      <c r="H360">
        <f t="shared" si="76"/>
        <v>477.83624261100749</v>
      </c>
      <c r="I360">
        <v>70</v>
      </c>
      <c r="J360">
        <f t="shared" si="63"/>
        <v>0.64482588021916099</v>
      </c>
      <c r="K360">
        <f t="shared" si="64"/>
        <v>1</v>
      </c>
      <c r="L360">
        <v>1</v>
      </c>
      <c r="M360">
        <f t="shared" si="62"/>
        <v>2.1932798121955113</v>
      </c>
      <c r="N360">
        <f t="shared" si="65"/>
        <v>13.00336791254272</v>
      </c>
      <c r="O360">
        <f t="shared" si="66"/>
        <v>2.2495177560979598</v>
      </c>
      <c r="P360">
        <f t="shared" si="67"/>
        <v>2.2495177560979598</v>
      </c>
      <c r="Q360">
        <f t="shared" si="68"/>
        <v>40.953732377128631</v>
      </c>
    </row>
    <row r="361" spans="1:17" x14ac:dyDescent="0.6">
      <c r="A361">
        <v>360</v>
      </c>
      <c r="B361" s="1" t="s">
        <v>24</v>
      </c>
      <c r="C361" t="s">
        <v>10</v>
      </c>
      <c r="D361">
        <v>114</v>
      </c>
      <c r="F361">
        <v>38.1</v>
      </c>
      <c r="G361">
        <v>38.253459999999997</v>
      </c>
      <c r="H361">
        <f t="shared" si="76"/>
        <v>477.83624261100749</v>
      </c>
      <c r="I361">
        <v>81</v>
      </c>
      <c r="J361">
        <f t="shared" si="63"/>
        <v>0.64482588021916099</v>
      </c>
      <c r="K361">
        <f t="shared" si="64"/>
        <v>1</v>
      </c>
      <c r="L361">
        <v>1</v>
      </c>
      <c r="M361">
        <f t="shared" si="62"/>
        <v>2.2915195869913485</v>
      </c>
      <c r="N361">
        <f t="shared" si="65"/>
        <v>13.585805195835301</v>
      </c>
      <c r="O361">
        <f t="shared" si="66"/>
        <v>2.3502764994783059</v>
      </c>
      <c r="P361">
        <f t="shared" si="67"/>
        <v>2.3502764994783059</v>
      </c>
      <c r="Q361">
        <f t="shared" si="68"/>
        <v>42.788101810252037</v>
      </c>
    </row>
    <row r="362" spans="1:17" x14ac:dyDescent="0.6">
      <c r="A362">
        <v>361</v>
      </c>
      <c r="B362" s="1" t="s">
        <v>24</v>
      </c>
      <c r="C362" t="s">
        <v>10</v>
      </c>
      <c r="D362">
        <v>114</v>
      </c>
      <c r="F362">
        <v>38.1</v>
      </c>
      <c r="G362">
        <v>38.253459999999997</v>
      </c>
      <c r="H362">
        <f t="shared" si="76"/>
        <v>477.83624261100749</v>
      </c>
      <c r="I362">
        <v>82</v>
      </c>
      <c r="J362">
        <f t="shared" si="63"/>
        <v>0.64482588021916099</v>
      </c>
      <c r="K362">
        <f t="shared" si="64"/>
        <v>1</v>
      </c>
      <c r="L362">
        <v>1</v>
      </c>
      <c r="M362">
        <f t="shared" si="62"/>
        <v>2.2915195869913485</v>
      </c>
      <c r="N362">
        <f t="shared" si="65"/>
        <v>13.585805195835301</v>
      </c>
      <c r="O362">
        <f t="shared" si="66"/>
        <v>2.3502764994783059</v>
      </c>
      <c r="P362">
        <f t="shared" si="67"/>
        <v>2.3502764994783059</v>
      </c>
      <c r="Q362">
        <f t="shared" si="68"/>
        <v>42.788101810252037</v>
      </c>
    </row>
    <row r="363" spans="1:17" x14ac:dyDescent="0.6">
      <c r="A363">
        <v>362</v>
      </c>
      <c r="B363" s="1" t="s">
        <v>24</v>
      </c>
      <c r="C363" t="s">
        <v>10</v>
      </c>
      <c r="D363">
        <v>114</v>
      </c>
      <c r="F363">
        <v>38.1</v>
      </c>
      <c r="G363">
        <v>38.253459999999997</v>
      </c>
      <c r="H363">
        <f t="shared" si="76"/>
        <v>477.83624261100749</v>
      </c>
      <c r="I363">
        <v>79</v>
      </c>
      <c r="J363">
        <f t="shared" si="63"/>
        <v>0.64482588021916099</v>
      </c>
      <c r="K363">
        <f t="shared" si="64"/>
        <v>1</v>
      </c>
      <c r="L363">
        <v>1</v>
      </c>
      <c r="M363">
        <f t="shared" si="62"/>
        <v>2.2915195869913485</v>
      </c>
      <c r="N363">
        <f t="shared" si="65"/>
        <v>13.585805195835301</v>
      </c>
      <c r="O363">
        <f t="shared" si="66"/>
        <v>2.3502764994783059</v>
      </c>
      <c r="P363">
        <f t="shared" si="67"/>
        <v>2.3502764994783059</v>
      </c>
      <c r="Q363">
        <f t="shared" si="68"/>
        <v>42.788101810252037</v>
      </c>
    </row>
    <row r="364" spans="1:17" x14ac:dyDescent="0.6">
      <c r="A364">
        <v>363</v>
      </c>
      <c r="B364" s="1" t="s">
        <v>24</v>
      </c>
      <c r="C364" t="s">
        <v>10</v>
      </c>
      <c r="D364">
        <v>114</v>
      </c>
      <c r="F364">
        <v>38.1</v>
      </c>
      <c r="G364">
        <v>44.017679999999999</v>
      </c>
      <c r="H364">
        <f t="shared" si="76"/>
        <v>477.83624261100749</v>
      </c>
      <c r="I364">
        <v>71</v>
      </c>
      <c r="J364">
        <f t="shared" si="63"/>
        <v>0.64482588021916099</v>
      </c>
      <c r="K364">
        <f t="shared" si="64"/>
        <v>1</v>
      </c>
      <c r="L364">
        <v>1</v>
      </c>
      <c r="M364">
        <f t="shared" si="62"/>
        <v>2.4581126780560738</v>
      </c>
      <c r="N364">
        <f t="shared" si="65"/>
        <v>14.573490963404501</v>
      </c>
      <c r="O364">
        <f t="shared" si="66"/>
        <v>2.5211412082626392</v>
      </c>
      <c r="P364">
        <f t="shared" si="67"/>
        <v>2.5211412082626392</v>
      </c>
      <c r="Q364">
        <f t="shared" si="68"/>
        <v>45.898789662028605</v>
      </c>
    </row>
    <row r="365" spans="1:17" x14ac:dyDescent="0.6">
      <c r="A365">
        <v>364</v>
      </c>
      <c r="B365" s="1" t="s">
        <v>24</v>
      </c>
      <c r="C365" t="s">
        <v>10</v>
      </c>
      <c r="D365">
        <v>114</v>
      </c>
      <c r="F365">
        <v>38.1</v>
      </c>
      <c r="G365">
        <v>42.773132500000003</v>
      </c>
      <c r="H365">
        <f t="shared" si="76"/>
        <v>477.83624261100749</v>
      </c>
      <c r="I365">
        <v>82</v>
      </c>
      <c r="J365">
        <f t="shared" si="63"/>
        <v>0.64482588021916099</v>
      </c>
      <c r="K365">
        <f t="shared" si="64"/>
        <v>1</v>
      </c>
      <c r="L365">
        <v>1</v>
      </c>
      <c r="M365">
        <f t="shared" si="62"/>
        <v>2.4231134087281441</v>
      </c>
      <c r="N365">
        <f t="shared" si="65"/>
        <v>14.365989680070449</v>
      </c>
      <c r="O365">
        <f t="shared" si="66"/>
        <v>2.4852445217724553</v>
      </c>
      <c r="P365">
        <f t="shared" si="67"/>
        <v>2.4852445217724553</v>
      </c>
      <c r="Q365">
        <f t="shared" si="68"/>
        <v>45.245270352052266</v>
      </c>
    </row>
    <row r="366" spans="1:17" x14ac:dyDescent="0.6">
      <c r="A366">
        <v>365</v>
      </c>
      <c r="B366" s="1" t="s">
        <v>24</v>
      </c>
      <c r="C366" t="s">
        <v>10</v>
      </c>
      <c r="D366">
        <v>114</v>
      </c>
      <c r="F366">
        <v>38.1</v>
      </c>
      <c r="G366">
        <v>49.25788</v>
      </c>
      <c r="H366">
        <f t="shared" si="76"/>
        <v>477.83624261100749</v>
      </c>
      <c r="I366">
        <v>83</v>
      </c>
      <c r="J366">
        <f t="shared" si="63"/>
        <v>0.64482588021916099</v>
      </c>
      <c r="K366">
        <f t="shared" si="64"/>
        <v>1</v>
      </c>
      <c r="L366">
        <v>1</v>
      </c>
      <c r="M366">
        <f t="shared" si="62"/>
        <v>2.6003156543139148</v>
      </c>
      <c r="N366">
        <f t="shared" si="65"/>
        <v>15.416574280114686</v>
      </c>
      <c r="O366">
        <f t="shared" si="66"/>
        <v>2.6669904146809378</v>
      </c>
      <c r="P366">
        <f t="shared" si="67"/>
        <v>2.6669904146809378</v>
      </c>
      <c r="Q366">
        <f t="shared" si="68"/>
        <v>48.554056263450136</v>
      </c>
    </row>
    <row r="367" spans="1:17" x14ac:dyDescent="0.6">
      <c r="A367">
        <v>366</v>
      </c>
      <c r="B367" s="1" t="s">
        <v>24</v>
      </c>
      <c r="C367" t="s">
        <v>10</v>
      </c>
      <c r="D367">
        <v>114</v>
      </c>
      <c r="F367">
        <v>38.1</v>
      </c>
      <c r="G367">
        <v>50.960945000000002</v>
      </c>
      <c r="H367">
        <f t="shared" si="76"/>
        <v>477.83624261100749</v>
      </c>
      <c r="I367">
        <v>84</v>
      </c>
      <c r="J367">
        <f t="shared" si="63"/>
        <v>0.64482588021916099</v>
      </c>
      <c r="K367">
        <f t="shared" si="64"/>
        <v>1</v>
      </c>
      <c r="L367">
        <v>1</v>
      </c>
      <c r="M367">
        <f t="shared" si="62"/>
        <v>2.6448859446838631</v>
      </c>
      <c r="N367">
        <f t="shared" si="65"/>
        <v>15.680819580886022</v>
      </c>
      <c r="O367">
        <f t="shared" si="66"/>
        <v>2.7127035330090901</v>
      </c>
      <c r="P367">
        <f t="shared" si="67"/>
        <v>2.7127035330090901</v>
      </c>
      <c r="Q367">
        <f t="shared" si="68"/>
        <v>49.386289220518485</v>
      </c>
    </row>
    <row r="368" spans="1:17" x14ac:dyDescent="0.6">
      <c r="A368">
        <v>367</v>
      </c>
      <c r="B368" s="1" t="s">
        <v>24</v>
      </c>
      <c r="C368" t="s">
        <v>10</v>
      </c>
      <c r="D368">
        <v>114</v>
      </c>
      <c r="F368">
        <v>38.1</v>
      </c>
      <c r="G368">
        <v>36.812404999999998</v>
      </c>
      <c r="H368">
        <f t="shared" si="76"/>
        <v>477.83624261100749</v>
      </c>
      <c r="I368">
        <v>83</v>
      </c>
      <c r="J368">
        <f t="shared" si="63"/>
        <v>0.64482588021916099</v>
      </c>
      <c r="K368">
        <f t="shared" si="64"/>
        <v>1</v>
      </c>
      <c r="L368">
        <v>1</v>
      </c>
      <c r="M368">
        <f t="shared" si="62"/>
        <v>2.2479430681072086</v>
      </c>
      <c r="N368">
        <f t="shared" si="65"/>
        <v>13.327451699738916</v>
      </c>
      <c r="O368">
        <f t="shared" si="66"/>
        <v>2.3055826339561114</v>
      </c>
      <c r="P368">
        <f t="shared" si="67"/>
        <v>2.3055826339561114</v>
      </c>
      <c r="Q368">
        <f t="shared" si="68"/>
        <v>41.974424922157439</v>
      </c>
    </row>
    <row r="369" spans="1:17" x14ac:dyDescent="0.6">
      <c r="A369">
        <v>368</v>
      </c>
      <c r="B369" s="1" t="s">
        <v>24</v>
      </c>
      <c r="C369" t="s">
        <v>10</v>
      </c>
      <c r="D369">
        <v>114</v>
      </c>
      <c r="F369">
        <v>38.1</v>
      </c>
      <c r="G369">
        <v>38.122455000000002</v>
      </c>
      <c r="H369">
        <f t="shared" si="76"/>
        <v>477.83624261100749</v>
      </c>
      <c r="I369">
        <v>77</v>
      </c>
      <c r="J369">
        <f t="shared" si="63"/>
        <v>0.64482588021916099</v>
      </c>
      <c r="K369">
        <f t="shared" si="64"/>
        <v>1</v>
      </c>
      <c r="L369">
        <v>1</v>
      </c>
      <c r="M369">
        <f t="shared" si="62"/>
        <v>2.2875923868695995</v>
      </c>
      <c r="N369">
        <f t="shared" si="65"/>
        <v>13.562521879331255</v>
      </c>
      <c r="O369">
        <f t="shared" si="66"/>
        <v>2.3462486019175377</v>
      </c>
      <c r="P369">
        <f t="shared" si="67"/>
        <v>2.3462486019175377</v>
      </c>
      <c r="Q369">
        <f t="shared" si="68"/>
        <v>42.714771676138177</v>
      </c>
    </row>
    <row r="370" spans="1:17" x14ac:dyDescent="0.6">
      <c r="A370">
        <v>369</v>
      </c>
      <c r="B370" s="1" t="s">
        <v>24</v>
      </c>
      <c r="C370" t="s">
        <v>10</v>
      </c>
      <c r="D370">
        <v>114</v>
      </c>
      <c r="F370">
        <v>38.1</v>
      </c>
      <c r="G370">
        <v>29.083110000000001</v>
      </c>
      <c r="H370">
        <f t="shared" si="76"/>
        <v>477.83624261100749</v>
      </c>
      <c r="I370">
        <v>75</v>
      </c>
      <c r="J370">
        <f t="shared" si="63"/>
        <v>0.64482588021916099</v>
      </c>
      <c r="K370">
        <f t="shared" si="64"/>
        <v>0.85</v>
      </c>
      <c r="L370">
        <v>1</v>
      </c>
      <c r="M370">
        <f t="shared" si="62"/>
        <v>1.6983514290025472</v>
      </c>
      <c r="N370">
        <f t="shared" si="65"/>
        <v>10.069070235961386</v>
      </c>
      <c r="O370">
        <f t="shared" si="66"/>
        <v>1.741898901541074</v>
      </c>
      <c r="P370">
        <f t="shared" si="67"/>
        <v>1.741898901541074</v>
      </c>
      <c r="Q370">
        <f t="shared" si="68"/>
        <v>31.712246435195929</v>
      </c>
    </row>
    <row r="371" spans="1:17" x14ac:dyDescent="0.6">
      <c r="A371">
        <v>370</v>
      </c>
      <c r="B371" s="1" t="s">
        <v>24</v>
      </c>
      <c r="C371" t="s">
        <v>10</v>
      </c>
      <c r="D371">
        <v>114</v>
      </c>
      <c r="F371">
        <v>38.1</v>
      </c>
      <c r="G371">
        <v>27.773060000000001</v>
      </c>
      <c r="H371">
        <f t="shared" si="76"/>
        <v>477.83624261100749</v>
      </c>
      <c r="I371">
        <v>74</v>
      </c>
      <c r="J371">
        <f t="shared" si="63"/>
        <v>0.64482588021916099</v>
      </c>
      <c r="K371">
        <f t="shared" si="64"/>
        <v>0.85</v>
      </c>
      <c r="L371">
        <v>1</v>
      </c>
      <c r="M371">
        <f t="shared" si="62"/>
        <v>1.659659530638276</v>
      </c>
      <c r="N371">
        <f t="shared" si="65"/>
        <v>9.8396763451920677</v>
      </c>
      <c r="O371">
        <f t="shared" si="66"/>
        <v>1.7022149032187446</v>
      </c>
      <c r="P371">
        <f t="shared" si="67"/>
        <v>1.7022149032187446</v>
      </c>
      <c r="Q371">
        <f t="shared" si="68"/>
        <v>30.989776989226229</v>
      </c>
    </row>
    <row r="372" spans="1:17" x14ac:dyDescent="0.6">
      <c r="A372">
        <v>371</v>
      </c>
      <c r="B372" s="2" t="s">
        <v>82</v>
      </c>
      <c r="C372" t="s">
        <v>10</v>
      </c>
      <c r="D372">
        <v>500</v>
      </c>
      <c r="F372">
        <v>240</v>
      </c>
      <c r="G372">
        <v>26.175000000000001</v>
      </c>
      <c r="H372">
        <f t="shared" si="76"/>
        <v>2324.7785636564467</v>
      </c>
      <c r="I372">
        <v>1662</v>
      </c>
      <c r="J372">
        <f t="shared" si="63"/>
        <v>0.28284271247461901</v>
      </c>
      <c r="K372">
        <f t="shared" si="64"/>
        <v>0.85</v>
      </c>
      <c r="L372">
        <v>1</v>
      </c>
      <c r="M372">
        <f t="shared" si="62"/>
        <v>1.6112038212108284</v>
      </c>
      <c r="N372">
        <f t="shared" si="65"/>
        <v>12.209605179629953</v>
      </c>
      <c r="O372">
        <f t="shared" si="66"/>
        <v>1.6525167397034137</v>
      </c>
      <c r="P372">
        <f t="shared" si="67"/>
        <v>1.6525167397034137</v>
      </c>
      <c r="Q372">
        <f t="shared" si="68"/>
        <v>922.01651821102473</v>
      </c>
    </row>
    <row r="373" spans="1:17" x14ac:dyDescent="0.6">
      <c r="A373">
        <v>372</v>
      </c>
      <c r="B373" s="2" t="s">
        <v>81</v>
      </c>
      <c r="C373" t="s">
        <v>7</v>
      </c>
      <c r="D373">
        <v>254</v>
      </c>
      <c r="F373">
        <v>111.252</v>
      </c>
      <c r="G373">
        <v>17.765000000000001</v>
      </c>
      <c r="H373">
        <f t="shared" ref="H373:H408" si="77">4*D373+2*F373</f>
        <v>1238.5039999999999</v>
      </c>
      <c r="I373">
        <v>334</v>
      </c>
      <c r="J373">
        <f t="shared" si="63"/>
        <v>0.40613511649928902</v>
      </c>
      <c r="K373">
        <f t="shared" si="64"/>
        <v>0.75</v>
      </c>
      <c r="L373">
        <v>1</v>
      </c>
      <c r="M373">
        <f t="shared" si="62"/>
        <v>1.1712027450779501</v>
      </c>
      <c r="N373">
        <f t="shared" si="65"/>
        <v>7.7733118766157547</v>
      </c>
      <c r="O373">
        <f t="shared" si="66"/>
        <v>1.2012335846953333</v>
      </c>
      <c r="P373">
        <f t="shared" si="67"/>
        <v>1.2012335846953333</v>
      </c>
      <c r="Q373">
        <f t="shared" si="68"/>
        <v>165.51322716841952</v>
      </c>
    </row>
    <row r="374" spans="1:17" x14ac:dyDescent="0.6">
      <c r="A374">
        <v>373</v>
      </c>
      <c r="B374" s="2" t="s">
        <v>81</v>
      </c>
      <c r="C374" t="s">
        <v>7</v>
      </c>
      <c r="D374">
        <v>203</v>
      </c>
      <c r="F374">
        <v>111.252</v>
      </c>
      <c r="G374">
        <v>19.38</v>
      </c>
      <c r="H374">
        <f t="shared" si="77"/>
        <v>1034.5039999999999</v>
      </c>
      <c r="I374">
        <v>266</v>
      </c>
      <c r="J374">
        <f t="shared" si="63"/>
        <v>0.40613511649928902</v>
      </c>
      <c r="K374">
        <f t="shared" si="64"/>
        <v>0.75</v>
      </c>
      <c r="L374">
        <v>1</v>
      </c>
      <c r="M374">
        <f t="shared" si="62"/>
        <v>1.2232813710722894</v>
      </c>
      <c r="N374">
        <f t="shared" si="65"/>
        <v>9.6395766835940613</v>
      </c>
      <c r="O374">
        <f t="shared" si="66"/>
        <v>1.2546475600741431</v>
      </c>
      <c r="P374">
        <f t="shared" si="67"/>
        <v>1.2546475600741431</v>
      </c>
      <c r="Q374">
        <f t="shared" si="68"/>
        <v>144.39818941876118</v>
      </c>
    </row>
    <row r="375" spans="1:17" x14ac:dyDescent="0.6">
      <c r="A375">
        <v>374</v>
      </c>
      <c r="B375" s="2" t="s">
        <v>83</v>
      </c>
      <c r="C375" t="s">
        <v>7</v>
      </c>
      <c r="D375">
        <v>152</v>
      </c>
      <c r="F375">
        <v>51</v>
      </c>
      <c r="G375">
        <v>11.11320755</v>
      </c>
      <c r="H375">
        <f t="shared" si="77"/>
        <v>710</v>
      </c>
      <c r="I375">
        <v>113</v>
      </c>
      <c r="J375">
        <f t="shared" si="63"/>
        <v>0.5725983343138682</v>
      </c>
      <c r="K375">
        <f t="shared" si="64"/>
        <v>0.75</v>
      </c>
      <c r="L375">
        <v>1</v>
      </c>
      <c r="M375">
        <f t="shared" si="62"/>
        <v>0.92633737807201932</v>
      </c>
      <c r="N375">
        <f t="shared" si="65"/>
        <v>4.9782336633774023</v>
      </c>
      <c r="O375">
        <f t="shared" si="66"/>
        <v>0.95008961853540441</v>
      </c>
      <c r="P375">
        <f t="shared" si="67"/>
        <v>0.95008961853540441</v>
      </c>
      <c r="Q375">
        <f t="shared" si="68"/>
        <v>34.402745087166991</v>
      </c>
    </row>
    <row r="376" spans="1:17" x14ac:dyDescent="0.6">
      <c r="A376">
        <v>375</v>
      </c>
      <c r="B376" s="2" t="s">
        <v>83</v>
      </c>
      <c r="C376" t="s">
        <v>7</v>
      </c>
      <c r="D376">
        <v>152</v>
      </c>
      <c r="F376">
        <v>51</v>
      </c>
      <c r="G376">
        <v>13.622641509999999</v>
      </c>
      <c r="H376">
        <f t="shared" si="77"/>
        <v>710</v>
      </c>
      <c r="I376">
        <v>123</v>
      </c>
      <c r="J376">
        <f t="shared" si="63"/>
        <v>0.5725983343138682</v>
      </c>
      <c r="K376">
        <f t="shared" si="64"/>
        <v>0.75</v>
      </c>
      <c r="L376">
        <v>1</v>
      </c>
      <c r="M376">
        <f t="shared" si="62"/>
        <v>1.0256050242309018</v>
      </c>
      <c r="N376">
        <f t="shared" si="65"/>
        <v>5.511708344946352</v>
      </c>
      <c r="O376">
        <f t="shared" si="66"/>
        <v>1.0519025889547711</v>
      </c>
      <c r="P376">
        <f t="shared" si="67"/>
        <v>1.0519025889547711</v>
      </c>
      <c r="Q376">
        <f t="shared" si="68"/>
        <v>38.089392746052262</v>
      </c>
    </row>
    <row r="377" spans="1:17" x14ac:dyDescent="0.6">
      <c r="A377">
        <v>376</v>
      </c>
      <c r="B377" t="s">
        <v>16</v>
      </c>
      <c r="C377" t="s">
        <v>7</v>
      </c>
      <c r="D377">
        <v>203</v>
      </c>
      <c r="F377">
        <v>114</v>
      </c>
      <c r="G377">
        <v>15.484999999999999</v>
      </c>
      <c r="H377">
        <f t="shared" si="77"/>
        <v>1040</v>
      </c>
      <c r="I377">
        <v>316</v>
      </c>
      <c r="J377">
        <f t="shared" si="63"/>
        <v>0.4016096644512494</v>
      </c>
      <c r="K377">
        <f t="shared" si="64"/>
        <v>0.75</v>
      </c>
      <c r="L377">
        <v>1</v>
      </c>
      <c r="M377">
        <f t="shared" si="62"/>
        <v>1.093465488460027</v>
      </c>
      <c r="N377">
        <f t="shared" si="65"/>
        <v>8.775761484307397</v>
      </c>
      <c r="O377">
        <f t="shared" si="66"/>
        <v>1.1215030650872071</v>
      </c>
      <c r="P377">
        <f t="shared" si="67"/>
        <v>1.1215030650872071</v>
      </c>
      <c r="Q377">
        <f t="shared" si="68"/>
        <v>132.96540339673928</v>
      </c>
    </row>
    <row r="378" spans="1:17" x14ac:dyDescent="0.6">
      <c r="A378">
        <v>377</v>
      </c>
      <c r="B378" t="s">
        <v>16</v>
      </c>
      <c r="C378" t="s">
        <v>7</v>
      </c>
      <c r="D378">
        <v>203</v>
      </c>
      <c r="F378">
        <v>117</v>
      </c>
      <c r="G378">
        <v>14.725</v>
      </c>
      <c r="H378">
        <f t="shared" si="77"/>
        <v>1046</v>
      </c>
      <c r="I378">
        <v>339</v>
      </c>
      <c r="J378">
        <f t="shared" si="63"/>
        <v>0.39683789506627254</v>
      </c>
      <c r="K378">
        <f t="shared" si="64"/>
        <v>0.75</v>
      </c>
      <c r="L378">
        <v>1</v>
      </c>
      <c r="M378">
        <f t="shared" si="62"/>
        <v>1.0662943977054955</v>
      </c>
      <c r="N378">
        <f t="shared" si="65"/>
        <v>8.725257673110109</v>
      </c>
      <c r="O378">
        <f t="shared" si="66"/>
        <v>1.0936352796979441</v>
      </c>
      <c r="P378">
        <f t="shared" si="67"/>
        <v>1.0936352796979441</v>
      </c>
      <c r="Q378">
        <f t="shared" si="68"/>
        <v>133.84127279999379</v>
      </c>
    </row>
    <row r="379" spans="1:17" x14ac:dyDescent="0.6">
      <c r="A379">
        <v>378</v>
      </c>
      <c r="B379" t="s">
        <v>16</v>
      </c>
      <c r="C379" t="s">
        <v>7</v>
      </c>
      <c r="D379">
        <v>203</v>
      </c>
      <c r="F379">
        <v>121</v>
      </c>
      <c r="G379">
        <v>13.49</v>
      </c>
      <c r="H379">
        <f t="shared" si="77"/>
        <v>1054</v>
      </c>
      <c r="I379">
        <v>301</v>
      </c>
      <c r="J379">
        <f t="shared" si="63"/>
        <v>0.39073233258228174</v>
      </c>
      <c r="K379">
        <f t="shared" si="64"/>
        <v>0.75</v>
      </c>
      <c r="L379">
        <v>1</v>
      </c>
      <c r="M379">
        <f t="shared" si="62"/>
        <v>1.0205997333829018</v>
      </c>
      <c r="N379">
        <f t="shared" si="65"/>
        <v>8.562348966644203</v>
      </c>
      <c r="O379">
        <f t="shared" si="66"/>
        <v>1.0467689573157968</v>
      </c>
      <c r="P379">
        <f t="shared" si="67"/>
        <v>1.0467689573157968</v>
      </c>
      <c r="Q379">
        <f t="shared" si="68"/>
        <v>133.49863220231282</v>
      </c>
    </row>
    <row r="380" spans="1:17" x14ac:dyDescent="0.6">
      <c r="A380">
        <v>379</v>
      </c>
      <c r="B380" t="s">
        <v>16</v>
      </c>
      <c r="C380" t="s">
        <v>7</v>
      </c>
      <c r="D380">
        <v>203</v>
      </c>
      <c r="F380">
        <v>124</v>
      </c>
      <c r="G380">
        <v>13.3</v>
      </c>
      <c r="H380">
        <f t="shared" si="77"/>
        <v>1060</v>
      </c>
      <c r="I380">
        <v>254</v>
      </c>
      <c r="J380">
        <f t="shared" si="63"/>
        <v>0.38633370464312788</v>
      </c>
      <c r="K380">
        <f t="shared" si="64"/>
        <v>0.75</v>
      </c>
      <c r="L380">
        <v>1</v>
      </c>
      <c r="M380">
        <f t="shared" si="62"/>
        <v>1.0133869240386419</v>
      </c>
      <c r="N380">
        <f t="shared" si="65"/>
        <v>8.6568938592072922</v>
      </c>
      <c r="O380">
        <f t="shared" si="66"/>
        <v>1.039371204142197</v>
      </c>
      <c r="P380">
        <f t="shared" si="67"/>
        <v>1.039371204142197</v>
      </c>
      <c r="Q380">
        <f t="shared" si="68"/>
        <v>136.61495107245037</v>
      </c>
    </row>
    <row r="381" spans="1:17" x14ac:dyDescent="0.6">
      <c r="A381">
        <v>380</v>
      </c>
      <c r="B381" t="s">
        <v>16</v>
      </c>
      <c r="C381" t="s">
        <v>7</v>
      </c>
      <c r="D381">
        <v>203</v>
      </c>
      <c r="F381">
        <v>117</v>
      </c>
      <c r="G381">
        <v>19.95</v>
      </c>
      <c r="H381">
        <f t="shared" si="77"/>
        <v>1046</v>
      </c>
      <c r="I381">
        <v>339</v>
      </c>
      <c r="J381">
        <f t="shared" si="63"/>
        <v>0.39683789506627254</v>
      </c>
      <c r="K381">
        <f t="shared" si="64"/>
        <v>0.75</v>
      </c>
      <c r="L381">
        <v>1</v>
      </c>
      <c r="M381">
        <f t="shared" si="62"/>
        <v>1.2411404379516247</v>
      </c>
      <c r="N381">
        <f t="shared" si="65"/>
        <v>10.155985207225704</v>
      </c>
      <c r="O381">
        <f t="shared" si="66"/>
        <v>1.2729645517452559</v>
      </c>
      <c r="P381">
        <f t="shared" si="67"/>
        <v>1.2729645517452559</v>
      </c>
      <c r="Q381">
        <f t="shared" si="68"/>
        <v>155.7879477716879</v>
      </c>
    </row>
    <row r="382" spans="1:17" x14ac:dyDescent="0.6">
      <c r="A382">
        <v>381</v>
      </c>
      <c r="B382" t="s">
        <v>16</v>
      </c>
      <c r="C382" t="s">
        <v>7</v>
      </c>
      <c r="D382">
        <v>203</v>
      </c>
      <c r="F382">
        <v>124</v>
      </c>
      <c r="G382">
        <v>33.630000000000003</v>
      </c>
      <c r="H382">
        <f t="shared" si="77"/>
        <v>1060</v>
      </c>
      <c r="I382">
        <v>401</v>
      </c>
      <c r="J382">
        <f t="shared" si="63"/>
        <v>0.38633370464312788</v>
      </c>
      <c r="K382">
        <f t="shared" si="64"/>
        <v>0.85</v>
      </c>
      <c r="L382">
        <v>1</v>
      </c>
      <c r="M382">
        <f t="shared" si="62"/>
        <v>1.8262934927521235</v>
      </c>
      <c r="N382">
        <f t="shared" si="65"/>
        <v>15.601177149107597</v>
      </c>
      <c r="O382">
        <f t="shared" si="66"/>
        <v>1.8731215310278189</v>
      </c>
      <c r="P382">
        <f t="shared" si="67"/>
        <v>1.8731215310278189</v>
      </c>
      <c r="Q382">
        <f t="shared" si="68"/>
        <v>246.20309403829651</v>
      </c>
    </row>
    <row r="383" spans="1:17" x14ac:dyDescent="0.6">
      <c r="A383">
        <v>382</v>
      </c>
      <c r="B383" t="s">
        <v>16</v>
      </c>
      <c r="C383" t="s">
        <v>7</v>
      </c>
      <c r="D383">
        <v>203</v>
      </c>
      <c r="F383">
        <v>117</v>
      </c>
      <c r="G383">
        <v>31.16</v>
      </c>
      <c r="H383">
        <f t="shared" si="77"/>
        <v>1046</v>
      </c>
      <c r="I383">
        <v>411</v>
      </c>
      <c r="J383">
        <f t="shared" si="63"/>
        <v>0.39683789506627254</v>
      </c>
      <c r="K383">
        <f t="shared" si="64"/>
        <v>0.85</v>
      </c>
      <c r="L383">
        <v>1</v>
      </c>
      <c r="M383">
        <f t="shared" si="62"/>
        <v>1.7579473442839522</v>
      </c>
      <c r="N383">
        <f t="shared" si="65"/>
        <v>14.384904945241505</v>
      </c>
      <c r="O383">
        <f t="shared" si="66"/>
        <v>1.80302291721431</v>
      </c>
      <c r="P383">
        <f t="shared" si="67"/>
        <v>1.80302291721431</v>
      </c>
      <c r="Q383">
        <f t="shared" si="68"/>
        <v>220.65755065452169</v>
      </c>
    </row>
    <row r="384" spans="1:17" x14ac:dyDescent="0.6">
      <c r="A384">
        <v>383</v>
      </c>
      <c r="B384" t="s">
        <v>16</v>
      </c>
      <c r="C384" t="s">
        <v>7</v>
      </c>
      <c r="D384">
        <v>203</v>
      </c>
      <c r="F384">
        <v>121</v>
      </c>
      <c r="G384">
        <v>30.875</v>
      </c>
      <c r="H384">
        <f t="shared" si="77"/>
        <v>1054</v>
      </c>
      <c r="I384">
        <v>422</v>
      </c>
      <c r="J384">
        <f t="shared" si="63"/>
        <v>0.39073233258228174</v>
      </c>
      <c r="K384">
        <f t="shared" si="64"/>
        <v>0.85</v>
      </c>
      <c r="L384">
        <v>1</v>
      </c>
      <c r="M384">
        <f t="shared" si="62"/>
        <v>1.7498894836308594</v>
      </c>
      <c r="N384">
        <f t="shared" si="65"/>
        <v>14.680744979468818</v>
      </c>
      <c r="O384">
        <f t="shared" si="66"/>
        <v>1.7947584447495992</v>
      </c>
      <c r="P384">
        <f t="shared" si="67"/>
        <v>1.7947584447495992</v>
      </c>
      <c r="Q384">
        <f t="shared" si="68"/>
        <v>228.89272349269538</v>
      </c>
    </row>
    <row r="385" spans="1:17" x14ac:dyDescent="0.6">
      <c r="A385">
        <v>384</v>
      </c>
      <c r="B385" t="s">
        <v>16</v>
      </c>
      <c r="C385" t="s">
        <v>7</v>
      </c>
      <c r="D385">
        <v>203</v>
      </c>
      <c r="F385">
        <v>124</v>
      </c>
      <c r="G385">
        <v>37.335000000000001</v>
      </c>
      <c r="H385">
        <f t="shared" si="77"/>
        <v>1060</v>
      </c>
      <c r="I385">
        <v>411</v>
      </c>
      <c r="J385">
        <f t="shared" si="63"/>
        <v>0.38633370464312788</v>
      </c>
      <c r="K385">
        <f t="shared" si="64"/>
        <v>1</v>
      </c>
      <c r="L385">
        <v>1</v>
      </c>
      <c r="M385">
        <f t="shared" si="62"/>
        <v>2.2638429238244426</v>
      </c>
      <c r="N385">
        <f t="shared" si="65"/>
        <v>19.338958733908438</v>
      </c>
      <c r="O385">
        <f t="shared" si="66"/>
        <v>2.3218901782814796</v>
      </c>
      <c r="P385">
        <f t="shared" si="67"/>
        <v>2.3218901782814796</v>
      </c>
      <c r="Q385">
        <f t="shared" si="68"/>
        <v>305.18924503331766</v>
      </c>
    </row>
    <row r="386" spans="1:17" x14ac:dyDescent="0.6">
      <c r="A386">
        <v>385</v>
      </c>
      <c r="B386" t="s">
        <v>16</v>
      </c>
      <c r="C386" t="s">
        <v>7</v>
      </c>
      <c r="D386">
        <v>203</v>
      </c>
      <c r="F386">
        <v>124</v>
      </c>
      <c r="G386">
        <v>39.33</v>
      </c>
      <c r="H386">
        <f t="shared" si="77"/>
        <v>1060</v>
      </c>
      <c r="I386">
        <v>431</v>
      </c>
      <c r="J386">
        <f t="shared" si="63"/>
        <v>0.38633370464312788</v>
      </c>
      <c r="K386">
        <f t="shared" si="64"/>
        <v>1</v>
      </c>
      <c r="L386">
        <v>1</v>
      </c>
      <c r="M386">
        <f t="shared" ref="M386:M449" si="78">0.19*(1+2/L386)*K386*0.65*(G386)^0.5</f>
        <v>2.3235401723447784</v>
      </c>
      <c r="N386">
        <f t="shared" si="65"/>
        <v>19.848924603674838</v>
      </c>
      <c r="O386">
        <f t="shared" si="66"/>
        <v>2.3831181254818237</v>
      </c>
      <c r="P386">
        <f t="shared" si="67"/>
        <v>2.3831181254818237</v>
      </c>
      <c r="Q386">
        <f t="shared" si="68"/>
        <v>313.23704641333092</v>
      </c>
    </row>
    <row r="387" spans="1:17" x14ac:dyDescent="0.6">
      <c r="A387">
        <v>386</v>
      </c>
      <c r="B387" t="s">
        <v>16</v>
      </c>
      <c r="C387" t="s">
        <v>7</v>
      </c>
      <c r="D387">
        <v>203</v>
      </c>
      <c r="F387">
        <v>124</v>
      </c>
      <c r="G387">
        <v>17.86</v>
      </c>
      <c r="H387">
        <f t="shared" si="77"/>
        <v>1060</v>
      </c>
      <c r="I387">
        <v>242</v>
      </c>
      <c r="J387">
        <f t="shared" ref="J387:J450" si="79">(2/(1+F387/10))^0.5</f>
        <v>0.38633370464312788</v>
      </c>
      <c r="K387">
        <f t="shared" ref="K387:K450" si="80">IF(G387&lt;24, 0.75, IF(G387&lt;35, 0.85, 1))</f>
        <v>0.75</v>
      </c>
      <c r="L387">
        <v>1</v>
      </c>
      <c r="M387">
        <f t="shared" si="78"/>
        <v>1.1743301278015905</v>
      </c>
      <c r="N387">
        <f t="shared" ref="N387:N450" si="81">(40*F387/H387+0.19)*K387*0.65*(G387)^0.5</f>
        <v>10.031756904394454</v>
      </c>
      <c r="O387">
        <f t="shared" ref="O387:O450" si="82">0.38*K387*(G387)^0.5</f>
        <v>1.2044411567195801</v>
      </c>
      <c r="P387">
        <f t="shared" ref="P387:P450" si="83">O387</f>
        <v>1.2044411567195801</v>
      </c>
      <c r="Q387">
        <f t="shared" ref="Q387:Q450" si="84">P387*H387*F387/1000</f>
        <v>158.31174563922158</v>
      </c>
    </row>
    <row r="388" spans="1:17" x14ac:dyDescent="0.6">
      <c r="A388">
        <v>387</v>
      </c>
      <c r="B388" t="s">
        <v>16</v>
      </c>
      <c r="C388" t="s">
        <v>7</v>
      </c>
      <c r="D388">
        <v>203</v>
      </c>
      <c r="F388">
        <v>102</v>
      </c>
      <c r="G388">
        <v>18.335000000000001</v>
      </c>
      <c r="H388">
        <f t="shared" si="77"/>
        <v>1016</v>
      </c>
      <c r="I388">
        <v>330</v>
      </c>
      <c r="J388">
        <f t="shared" si="79"/>
        <v>0.42257712736425829</v>
      </c>
      <c r="K388">
        <f t="shared" si="80"/>
        <v>0.75</v>
      </c>
      <c r="L388">
        <v>1</v>
      </c>
      <c r="M388">
        <f t="shared" si="78"/>
        <v>1.1898437477183195</v>
      </c>
      <c r="N388">
        <f t="shared" si="81"/>
        <v>8.7792684206214382</v>
      </c>
      <c r="O388">
        <f t="shared" si="82"/>
        <v>1.2203525617623787</v>
      </c>
      <c r="P388">
        <f t="shared" si="83"/>
        <v>1.2203525617623787</v>
      </c>
      <c r="Q388">
        <f t="shared" si="84"/>
        <v>126.46757668055882</v>
      </c>
    </row>
    <row r="389" spans="1:17" x14ac:dyDescent="0.6">
      <c r="A389">
        <v>388</v>
      </c>
      <c r="B389" t="s">
        <v>16</v>
      </c>
      <c r="C389" t="s">
        <v>7</v>
      </c>
      <c r="D389">
        <v>203</v>
      </c>
      <c r="F389">
        <v>117</v>
      </c>
      <c r="G389">
        <v>25.934999999999999</v>
      </c>
      <c r="H389">
        <f t="shared" si="77"/>
        <v>1046</v>
      </c>
      <c r="I389">
        <v>292</v>
      </c>
      <c r="J389">
        <f t="shared" si="79"/>
        <v>0.39683789506627254</v>
      </c>
      <c r="K389">
        <f t="shared" si="80"/>
        <v>0.85</v>
      </c>
      <c r="L389">
        <v>1</v>
      </c>
      <c r="M389">
        <f t="shared" si="78"/>
        <v>1.6038002033091203</v>
      </c>
      <c r="N389">
        <f t="shared" si="81"/>
        <v>13.123552051075674</v>
      </c>
      <c r="O389">
        <f t="shared" si="82"/>
        <v>1.6449232854452516</v>
      </c>
      <c r="P389">
        <f t="shared" si="83"/>
        <v>1.6449232854452516</v>
      </c>
      <c r="Q389">
        <f t="shared" si="84"/>
        <v>201.30900151936078</v>
      </c>
    </row>
    <row r="390" spans="1:17" x14ac:dyDescent="0.6">
      <c r="A390">
        <v>389</v>
      </c>
      <c r="B390" t="s">
        <v>16</v>
      </c>
      <c r="C390" t="s">
        <v>7</v>
      </c>
      <c r="D390">
        <v>203</v>
      </c>
      <c r="F390">
        <v>121</v>
      </c>
      <c r="G390">
        <v>19.57</v>
      </c>
      <c r="H390">
        <f t="shared" si="77"/>
        <v>1054</v>
      </c>
      <c r="I390">
        <v>322</v>
      </c>
      <c r="J390">
        <f t="shared" si="79"/>
        <v>0.39073233258228174</v>
      </c>
      <c r="K390">
        <f t="shared" si="80"/>
        <v>0.75</v>
      </c>
      <c r="L390">
        <v>1</v>
      </c>
      <c r="M390">
        <f t="shared" si="78"/>
        <v>1.2292632227400486</v>
      </c>
      <c r="N390">
        <f t="shared" si="81"/>
        <v>10.312936933732409</v>
      </c>
      <c r="O390">
        <f t="shared" si="82"/>
        <v>1.2607827925538959</v>
      </c>
      <c r="P390">
        <f t="shared" si="83"/>
        <v>1.2607827925538959</v>
      </c>
      <c r="Q390">
        <f t="shared" si="84"/>
        <v>160.79267266556857</v>
      </c>
    </row>
    <row r="391" spans="1:17" x14ac:dyDescent="0.6">
      <c r="A391">
        <v>390</v>
      </c>
      <c r="B391" t="s">
        <v>16</v>
      </c>
      <c r="C391" t="s">
        <v>7</v>
      </c>
      <c r="D391">
        <v>203</v>
      </c>
      <c r="F391">
        <v>119</v>
      </c>
      <c r="G391">
        <v>15.2</v>
      </c>
      <c r="H391">
        <f t="shared" si="77"/>
        <v>1050</v>
      </c>
      <c r="I391">
        <v>292</v>
      </c>
      <c r="J391">
        <f t="shared" si="79"/>
        <v>0.39374961547907888</v>
      </c>
      <c r="K391">
        <f t="shared" si="80"/>
        <v>0.75</v>
      </c>
      <c r="L391">
        <v>1</v>
      </c>
      <c r="M391">
        <f t="shared" si="78"/>
        <v>1.0833561914255165</v>
      </c>
      <c r="N391">
        <f t="shared" si="81"/>
        <v>8.977284931286297</v>
      </c>
      <c r="O391">
        <f t="shared" si="82"/>
        <v>1.1111345553082219</v>
      </c>
      <c r="P391">
        <f t="shared" si="83"/>
        <v>1.1111345553082219</v>
      </c>
      <c r="Q391">
        <f t="shared" si="84"/>
        <v>138.83626268576234</v>
      </c>
    </row>
    <row r="392" spans="1:17" x14ac:dyDescent="0.6">
      <c r="A392">
        <v>391</v>
      </c>
      <c r="B392" t="s">
        <v>16</v>
      </c>
      <c r="C392" t="s">
        <v>7</v>
      </c>
      <c r="D392">
        <v>203</v>
      </c>
      <c r="F392">
        <v>114</v>
      </c>
      <c r="G392">
        <v>36.384999999999998</v>
      </c>
      <c r="H392">
        <f t="shared" si="77"/>
        <v>1040</v>
      </c>
      <c r="I392">
        <v>254</v>
      </c>
      <c r="J392">
        <f t="shared" si="79"/>
        <v>0.4016096644512494</v>
      </c>
      <c r="K392">
        <f t="shared" si="80"/>
        <v>1</v>
      </c>
      <c r="L392">
        <v>1</v>
      </c>
      <c r="M392">
        <f t="shared" si="78"/>
        <v>2.2348552629309131</v>
      </c>
      <c r="N392">
        <f t="shared" si="81"/>
        <v>17.936146084548099</v>
      </c>
      <c r="O392">
        <f t="shared" si="82"/>
        <v>2.2921592440317053</v>
      </c>
      <c r="P392">
        <f t="shared" si="83"/>
        <v>2.2921592440317053</v>
      </c>
      <c r="Q392">
        <f t="shared" si="84"/>
        <v>271.75839997239893</v>
      </c>
    </row>
    <row r="393" spans="1:17" x14ac:dyDescent="0.6">
      <c r="A393">
        <v>392</v>
      </c>
      <c r="B393" t="s">
        <v>16</v>
      </c>
      <c r="C393" t="s">
        <v>7</v>
      </c>
      <c r="D393">
        <v>203</v>
      </c>
      <c r="F393">
        <v>119</v>
      </c>
      <c r="G393">
        <v>27.74</v>
      </c>
      <c r="H393">
        <f t="shared" si="77"/>
        <v>1050</v>
      </c>
      <c r="I393">
        <v>335</v>
      </c>
      <c r="J393">
        <f t="shared" si="79"/>
        <v>0.39374961547907888</v>
      </c>
      <c r="K393">
        <f t="shared" si="80"/>
        <v>0.85</v>
      </c>
      <c r="L393">
        <v>1</v>
      </c>
      <c r="M393">
        <f t="shared" si="78"/>
        <v>1.6586714385427572</v>
      </c>
      <c r="N393">
        <f t="shared" si="81"/>
        <v>13.744663324064838</v>
      </c>
      <c r="O393">
        <f t="shared" si="82"/>
        <v>1.701201475428469</v>
      </c>
      <c r="P393">
        <f t="shared" si="83"/>
        <v>1.701201475428469</v>
      </c>
      <c r="Q393">
        <f t="shared" si="84"/>
        <v>212.5651243547872</v>
      </c>
    </row>
    <row r="394" spans="1:17" x14ac:dyDescent="0.6">
      <c r="A394">
        <v>393</v>
      </c>
      <c r="B394" t="s">
        <v>16</v>
      </c>
      <c r="C394" t="s">
        <v>7</v>
      </c>
      <c r="D394">
        <v>203</v>
      </c>
      <c r="F394">
        <v>117</v>
      </c>
      <c r="G394">
        <v>30.59</v>
      </c>
      <c r="H394">
        <f t="shared" si="77"/>
        <v>1046</v>
      </c>
      <c r="I394">
        <v>531</v>
      </c>
      <c r="J394">
        <f t="shared" si="79"/>
        <v>0.39683789506627254</v>
      </c>
      <c r="K394">
        <f t="shared" si="80"/>
        <v>0.85</v>
      </c>
      <c r="L394">
        <v>1</v>
      </c>
      <c r="M394">
        <f t="shared" si="78"/>
        <v>1.7417943462328584</v>
      </c>
      <c r="N394">
        <f t="shared" si="81"/>
        <v>14.252728437053598</v>
      </c>
      <c r="O394">
        <f t="shared" si="82"/>
        <v>1.7864557397260086</v>
      </c>
      <c r="P394">
        <f t="shared" si="83"/>
        <v>1.7864557397260086</v>
      </c>
      <c r="Q394">
        <f t="shared" si="84"/>
        <v>218.63002633914837</v>
      </c>
    </row>
    <row r="395" spans="1:17" x14ac:dyDescent="0.6">
      <c r="A395">
        <v>394</v>
      </c>
      <c r="B395" t="s">
        <v>16</v>
      </c>
      <c r="C395" t="s">
        <v>7</v>
      </c>
      <c r="D395">
        <v>203</v>
      </c>
      <c r="F395">
        <v>114</v>
      </c>
      <c r="G395">
        <v>31.16</v>
      </c>
      <c r="H395">
        <f t="shared" si="77"/>
        <v>1040</v>
      </c>
      <c r="I395">
        <v>377</v>
      </c>
      <c r="J395">
        <f t="shared" si="79"/>
        <v>0.4016096644512494</v>
      </c>
      <c r="K395">
        <f t="shared" si="80"/>
        <v>0.85</v>
      </c>
      <c r="L395">
        <v>1</v>
      </c>
      <c r="M395">
        <f t="shared" si="78"/>
        <v>1.7579473442839522</v>
      </c>
      <c r="N395">
        <f t="shared" si="81"/>
        <v>14.108654327201977</v>
      </c>
      <c r="O395">
        <f t="shared" si="82"/>
        <v>1.80302291721431</v>
      </c>
      <c r="P395">
        <f t="shared" si="83"/>
        <v>1.80302291721431</v>
      </c>
      <c r="Q395">
        <f t="shared" si="84"/>
        <v>213.76639706492858</v>
      </c>
    </row>
    <row r="396" spans="1:17" x14ac:dyDescent="0.6">
      <c r="A396">
        <v>395</v>
      </c>
      <c r="B396" t="s">
        <v>16</v>
      </c>
      <c r="C396" t="s">
        <v>7</v>
      </c>
      <c r="D396">
        <v>203</v>
      </c>
      <c r="F396">
        <v>117</v>
      </c>
      <c r="G396">
        <v>27.835000000000001</v>
      </c>
      <c r="H396">
        <f t="shared" si="77"/>
        <v>1046</v>
      </c>
      <c r="I396">
        <v>394</v>
      </c>
      <c r="J396">
        <f t="shared" si="79"/>
        <v>0.39683789506627254</v>
      </c>
      <c r="K396">
        <f t="shared" si="80"/>
        <v>0.85</v>
      </c>
      <c r="L396">
        <v>1</v>
      </c>
      <c r="M396">
        <f t="shared" si="78"/>
        <v>1.6615092018468858</v>
      </c>
      <c r="N396">
        <f t="shared" si="81"/>
        <v>13.595772371638784</v>
      </c>
      <c r="O396">
        <f t="shared" si="82"/>
        <v>1.7041120018942417</v>
      </c>
      <c r="P396">
        <f t="shared" si="83"/>
        <v>1.7041120018942417</v>
      </c>
      <c r="Q396">
        <f t="shared" si="84"/>
        <v>208.5526350158211</v>
      </c>
    </row>
    <row r="397" spans="1:17" x14ac:dyDescent="0.6">
      <c r="A397">
        <v>396</v>
      </c>
      <c r="B397" s="2" t="s">
        <v>84</v>
      </c>
      <c r="C397" t="s">
        <v>7</v>
      </c>
      <c r="D397">
        <v>100</v>
      </c>
      <c r="F397">
        <v>107</v>
      </c>
      <c r="G397">
        <v>24.323895</v>
      </c>
      <c r="H397">
        <f t="shared" si="77"/>
        <v>614</v>
      </c>
      <c r="I397">
        <v>216</v>
      </c>
      <c r="J397">
        <f t="shared" si="79"/>
        <v>0.4134491152973615</v>
      </c>
      <c r="K397">
        <f t="shared" si="80"/>
        <v>0.85</v>
      </c>
      <c r="L397">
        <v>1</v>
      </c>
      <c r="M397">
        <f t="shared" si="78"/>
        <v>1.5531868252590091</v>
      </c>
      <c r="N397">
        <f t="shared" si="81"/>
        <v>19.512070367287489</v>
      </c>
      <c r="O397">
        <f t="shared" si="82"/>
        <v>1.5930121284707786</v>
      </c>
      <c r="P397">
        <f t="shared" si="83"/>
        <v>1.5930121284707786</v>
      </c>
      <c r="Q397">
        <f t="shared" si="84"/>
        <v>104.65771081627321</v>
      </c>
    </row>
    <row r="398" spans="1:17" x14ac:dyDescent="0.6">
      <c r="A398">
        <v>397</v>
      </c>
      <c r="B398" s="2" t="s">
        <v>84</v>
      </c>
      <c r="C398" t="s">
        <v>7</v>
      </c>
      <c r="D398">
        <v>250</v>
      </c>
      <c r="F398">
        <v>107</v>
      </c>
      <c r="G398">
        <v>32.152275000000003</v>
      </c>
      <c r="H398">
        <f t="shared" si="77"/>
        <v>1214</v>
      </c>
      <c r="I398">
        <v>257</v>
      </c>
      <c r="J398">
        <f t="shared" si="79"/>
        <v>0.4134491152973615</v>
      </c>
      <c r="K398">
        <f t="shared" si="80"/>
        <v>0.85</v>
      </c>
      <c r="L398">
        <v>1</v>
      </c>
      <c r="M398">
        <f t="shared" si="78"/>
        <v>1.7857184752188116</v>
      </c>
      <c r="N398">
        <f t="shared" si="81"/>
        <v>11.640175868421752</v>
      </c>
      <c r="O398">
        <f t="shared" si="82"/>
        <v>1.8315061284295502</v>
      </c>
      <c r="P398">
        <f t="shared" si="83"/>
        <v>1.8315061284295502</v>
      </c>
      <c r="Q398">
        <f t="shared" si="84"/>
        <v>237.90898307074173</v>
      </c>
    </row>
    <row r="399" spans="1:17" x14ac:dyDescent="0.6">
      <c r="A399">
        <v>398</v>
      </c>
      <c r="B399" s="2" t="s">
        <v>84</v>
      </c>
      <c r="C399" t="s">
        <v>7</v>
      </c>
      <c r="D399">
        <v>450</v>
      </c>
      <c r="F399">
        <v>107</v>
      </c>
      <c r="G399">
        <v>28.238085000000002</v>
      </c>
      <c r="H399">
        <f t="shared" si="77"/>
        <v>2014</v>
      </c>
      <c r="I399">
        <v>301</v>
      </c>
      <c r="J399">
        <f t="shared" si="79"/>
        <v>0.4134491152973615</v>
      </c>
      <c r="K399">
        <f t="shared" si="80"/>
        <v>0.85</v>
      </c>
      <c r="L399">
        <v>1</v>
      </c>
      <c r="M399">
        <f t="shared" si="78"/>
        <v>1.6734963081668206</v>
      </c>
      <c r="N399">
        <f t="shared" si="81"/>
        <v>6.7971082216041285</v>
      </c>
      <c r="O399">
        <f t="shared" si="82"/>
        <v>1.7164064699146879</v>
      </c>
      <c r="P399">
        <f t="shared" si="83"/>
        <v>1.7164064699146879</v>
      </c>
      <c r="Q399">
        <f t="shared" si="84"/>
        <v>369.88216145367539</v>
      </c>
    </row>
    <row r="400" spans="1:17" x14ac:dyDescent="0.6">
      <c r="A400">
        <v>399</v>
      </c>
      <c r="B400" s="2" t="s">
        <v>84</v>
      </c>
      <c r="C400" t="s">
        <v>7</v>
      </c>
      <c r="D400">
        <v>100</v>
      </c>
      <c r="F400">
        <v>107</v>
      </c>
      <c r="G400">
        <v>23.019165000000001</v>
      </c>
      <c r="H400">
        <f t="shared" si="77"/>
        <v>614</v>
      </c>
      <c r="I400">
        <v>196</v>
      </c>
      <c r="J400">
        <f t="shared" si="79"/>
        <v>0.4134491152973615</v>
      </c>
      <c r="K400">
        <f t="shared" si="80"/>
        <v>0.75</v>
      </c>
      <c r="L400">
        <v>1</v>
      </c>
      <c r="M400">
        <f t="shared" si="78"/>
        <v>1.3331967880125399</v>
      </c>
      <c r="N400">
        <f t="shared" si="81"/>
        <v>16.748422738394236</v>
      </c>
      <c r="O400">
        <f t="shared" si="82"/>
        <v>1.3673813210385026</v>
      </c>
      <c r="P400">
        <f t="shared" si="83"/>
        <v>1.3673813210385026</v>
      </c>
      <c r="Q400">
        <f t="shared" si="84"/>
        <v>89.834218029587547</v>
      </c>
    </row>
    <row r="401" spans="1:17" x14ac:dyDescent="0.6">
      <c r="A401">
        <v>400</v>
      </c>
      <c r="B401" s="2" t="s">
        <v>84</v>
      </c>
      <c r="C401" t="s">
        <v>7</v>
      </c>
      <c r="D401">
        <v>250</v>
      </c>
      <c r="F401">
        <v>107</v>
      </c>
      <c r="G401">
        <v>31.406714999999998</v>
      </c>
      <c r="H401">
        <f t="shared" si="77"/>
        <v>1214</v>
      </c>
      <c r="I401">
        <v>283</v>
      </c>
      <c r="J401">
        <f t="shared" si="79"/>
        <v>0.4134491152973615</v>
      </c>
      <c r="K401">
        <f t="shared" si="80"/>
        <v>0.85</v>
      </c>
      <c r="L401">
        <v>1</v>
      </c>
      <c r="M401">
        <f t="shared" si="78"/>
        <v>1.764893057738633</v>
      </c>
      <c r="N401">
        <f t="shared" si="81"/>
        <v>11.504425734586754</v>
      </c>
      <c r="O401">
        <f t="shared" si="82"/>
        <v>1.8101467258857773</v>
      </c>
      <c r="P401">
        <f t="shared" si="83"/>
        <v>1.8101467258857773</v>
      </c>
      <c r="Q401">
        <f t="shared" si="84"/>
        <v>235.1344393991107</v>
      </c>
    </row>
    <row r="402" spans="1:17" x14ac:dyDescent="0.6">
      <c r="A402">
        <v>401</v>
      </c>
      <c r="B402" s="2" t="s">
        <v>84</v>
      </c>
      <c r="C402" t="s">
        <v>7</v>
      </c>
      <c r="D402">
        <v>450</v>
      </c>
      <c r="F402">
        <v>107</v>
      </c>
      <c r="G402">
        <v>30.288374999999998</v>
      </c>
      <c r="H402">
        <f t="shared" si="77"/>
        <v>2014</v>
      </c>
      <c r="I402">
        <v>397</v>
      </c>
      <c r="J402">
        <f t="shared" si="79"/>
        <v>0.4134491152973615</v>
      </c>
      <c r="K402">
        <f t="shared" si="80"/>
        <v>0.85</v>
      </c>
      <c r="L402">
        <v>1</v>
      </c>
      <c r="M402">
        <f t="shared" si="78"/>
        <v>1.733185810589378</v>
      </c>
      <c r="N402">
        <f t="shared" si="81"/>
        <v>7.0395443749914355</v>
      </c>
      <c r="O402">
        <f t="shared" si="82"/>
        <v>1.777626472399362</v>
      </c>
      <c r="P402">
        <f t="shared" si="83"/>
        <v>1.777626472399362</v>
      </c>
      <c r="Q402">
        <f t="shared" si="84"/>
        <v>383.07494954911772</v>
      </c>
    </row>
    <row r="403" spans="1:17" x14ac:dyDescent="0.6">
      <c r="A403">
        <v>402</v>
      </c>
      <c r="B403" s="2" t="s">
        <v>84</v>
      </c>
      <c r="C403" t="s">
        <v>7</v>
      </c>
      <c r="D403">
        <v>100</v>
      </c>
      <c r="F403">
        <v>107</v>
      </c>
      <c r="G403">
        <v>37.743974999999999</v>
      </c>
      <c r="H403">
        <f t="shared" si="77"/>
        <v>614</v>
      </c>
      <c r="I403">
        <v>184</v>
      </c>
      <c r="J403">
        <f t="shared" si="79"/>
        <v>0.4134491152973615</v>
      </c>
      <c r="K403">
        <f t="shared" si="80"/>
        <v>1</v>
      </c>
      <c r="L403">
        <v>1</v>
      </c>
      <c r="M403">
        <f t="shared" si="78"/>
        <v>2.2762084448142597</v>
      </c>
      <c r="N403">
        <f t="shared" si="81"/>
        <v>28.595104351611702</v>
      </c>
      <c r="O403">
        <f t="shared" si="82"/>
        <v>2.3345727639120608</v>
      </c>
      <c r="P403">
        <f t="shared" si="83"/>
        <v>2.3345727639120608</v>
      </c>
      <c r="Q403">
        <f t="shared" si="84"/>
        <v>153.37676144349459</v>
      </c>
    </row>
    <row r="404" spans="1:17" x14ac:dyDescent="0.6">
      <c r="A404">
        <v>403</v>
      </c>
      <c r="B404" s="2" t="s">
        <v>84</v>
      </c>
      <c r="C404" t="s">
        <v>7</v>
      </c>
      <c r="D404">
        <v>100</v>
      </c>
      <c r="F404">
        <v>107</v>
      </c>
      <c r="G404">
        <v>34.016174999999997</v>
      </c>
      <c r="H404">
        <f t="shared" si="77"/>
        <v>614</v>
      </c>
      <c r="I404">
        <v>211</v>
      </c>
      <c r="J404">
        <f t="shared" si="79"/>
        <v>0.4134491152973615</v>
      </c>
      <c r="K404">
        <f t="shared" si="80"/>
        <v>0.85</v>
      </c>
      <c r="L404">
        <v>1</v>
      </c>
      <c r="M404">
        <f t="shared" si="78"/>
        <v>1.8367492728859958</v>
      </c>
      <c r="N404">
        <f t="shared" si="81"/>
        <v>23.074352986247622</v>
      </c>
      <c r="O404">
        <f t="shared" si="82"/>
        <v>1.8838454080882008</v>
      </c>
      <c r="P404">
        <f t="shared" si="83"/>
        <v>1.8838454080882008</v>
      </c>
      <c r="Q404">
        <f t="shared" si="84"/>
        <v>123.76487562057862</v>
      </c>
    </row>
    <row r="405" spans="1:17" x14ac:dyDescent="0.6">
      <c r="A405">
        <v>404</v>
      </c>
      <c r="B405" s="2" t="s">
        <v>84</v>
      </c>
      <c r="C405" t="s">
        <v>7</v>
      </c>
      <c r="D405">
        <v>100</v>
      </c>
      <c r="F405">
        <v>107</v>
      </c>
      <c r="G405">
        <v>37.277999999999999</v>
      </c>
      <c r="H405">
        <f t="shared" si="77"/>
        <v>614</v>
      </c>
      <c r="I405">
        <v>165</v>
      </c>
      <c r="J405">
        <f t="shared" si="79"/>
        <v>0.4134491152973615</v>
      </c>
      <c r="K405">
        <f t="shared" si="80"/>
        <v>1</v>
      </c>
      <c r="L405">
        <v>1</v>
      </c>
      <c r="M405">
        <f t="shared" si="78"/>
        <v>2.2621141393616728</v>
      </c>
      <c r="N405">
        <f t="shared" si="81"/>
        <v>28.418043179512807</v>
      </c>
      <c r="O405">
        <f t="shared" si="82"/>
        <v>2.3201170660119717</v>
      </c>
      <c r="P405">
        <f t="shared" si="83"/>
        <v>2.3201170660119717</v>
      </c>
      <c r="Q405">
        <f t="shared" si="84"/>
        <v>152.42705100285451</v>
      </c>
    </row>
    <row r="406" spans="1:17" x14ac:dyDescent="0.6">
      <c r="A406">
        <v>405</v>
      </c>
      <c r="B406" s="2" t="s">
        <v>84</v>
      </c>
      <c r="C406" t="s">
        <v>7</v>
      </c>
      <c r="D406">
        <v>100</v>
      </c>
      <c r="F406">
        <v>107</v>
      </c>
      <c r="G406">
        <v>25.069455000000001</v>
      </c>
      <c r="H406">
        <f t="shared" si="77"/>
        <v>614</v>
      </c>
      <c r="I406">
        <v>175</v>
      </c>
      <c r="J406">
        <f t="shared" si="79"/>
        <v>0.4134491152973615</v>
      </c>
      <c r="K406">
        <f t="shared" si="80"/>
        <v>0.85</v>
      </c>
      <c r="L406">
        <v>1</v>
      </c>
      <c r="M406">
        <f t="shared" si="78"/>
        <v>1.5768107944968968</v>
      </c>
      <c r="N406">
        <f t="shared" si="81"/>
        <v>19.808848927746521</v>
      </c>
      <c r="O406">
        <f t="shared" si="82"/>
        <v>1.6172418405096376</v>
      </c>
      <c r="P406">
        <f t="shared" si="83"/>
        <v>1.6172418405096376</v>
      </c>
      <c r="Q406">
        <f t="shared" si="84"/>
        <v>106.24955443780217</v>
      </c>
    </row>
    <row r="407" spans="1:17" x14ac:dyDescent="0.6">
      <c r="A407">
        <v>406</v>
      </c>
      <c r="B407" s="2" t="s">
        <v>84</v>
      </c>
      <c r="C407" t="s">
        <v>7</v>
      </c>
      <c r="D407">
        <v>250</v>
      </c>
      <c r="F407">
        <v>107</v>
      </c>
      <c r="G407">
        <v>29.729205</v>
      </c>
      <c r="H407">
        <f t="shared" si="77"/>
        <v>1214</v>
      </c>
      <c r="I407">
        <v>246</v>
      </c>
      <c r="J407">
        <f t="shared" si="79"/>
        <v>0.4134491152973615</v>
      </c>
      <c r="K407">
        <f t="shared" si="80"/>
        <v>0.85</v>
      </c>
      <c r="L407">
        <v>1</v>
      </c>
      <c r="M407">
        <f t="shared" si="78"/>
        <v>1.7171126429024768</v>
      </c>
      <c r="N407">
        <f t="shared" si="81"/>
        <v>11.192969903515253</v>
      </c>
      <c r="O407">
        <f t="shared" si="82"/>
        <v>1.7611411722076684</v>
      </c>
      <c r="P407">
        <f t="shared" si="83"/>
        <v>1.7611411722076684</v>
      </c>
      <c r="Q407">
        <f t="shared" si="84"/>
        <v>228.76871598743173</v>
      </c>
    </row>
    <row r="408" spans="1:17" x14ac:dyDescent="0.6">
      <c r="A408">
        <v>407</v>
      </c>
      <c r="B408" s="2" t="s">
        <v>84</v>
      </c>
      <c r="C408" t="s">
        <v>7</v>
      </c>
      <c r="D408">
        <v>450</v>
      </c>
      <c r="F408">
        <v>107</v>
      </c>
      <c r="G408">
        <v>32.525055000000002</v>
      </c>
      <c r="H408">
        <f t="shared" si="77"/>
        <v>2014</v>
      </c>
      <c r="I408">
        <v>294</v>
      </c>
      <c r="J408">
        <f t="shared" si="79"/>
        <v>0.4134491152973615</v>
      </c>
      <c r="K408">
        <f t="shared" si="80"/>
        <v>0.85</v>
      </c>
      <c r="L408">
        <v>1</v>
      </c>
      <c r="M408">
        <f t="shared" si="78"/>
        <v>1.7960406333041814</v>
      </c>
      <c r="N408">
        <f t="shared" si="81"/>
        <v>7.2948368606439784</v>
      </c>
      <c r="O408">
        <f t="shared" si="82"/>
        <v>1.8420929572350577</v>
      </c>
      <c r="P408">
        <f t="shared" si="83"/>
        <v>1.8420929572350577</v>
      </c>
      <c r="Q408">
        <f t="shared" si="84"/>
        <v>396.96734809824051</v>
      </c>
    </row>
    <row r="409" spans="1:17" x14ac:dyDescent="0.6">
      <c r="A409">
        <v>408</v>
      </c>
      <c r="B409" s="2" t="s">
        <v>85</v>
      </c>
      <c r="C409" t="s">
        <v>10</v>
      </c>
      <c r="D409">
        <v>221</v>
      </c>
      <c r="F409">
        <v>82</v>
      </c>
      <c r="G409">
        <v>15.265000000000001</v>
      </c>
      <c r="H409">
        <f t="shared" ref="H409:H410" si="85">PI()*(D409+F409)</f>
        <v>951.90257403770727</v>
      </c>
      <c r="I409">
        <v>152</v>
      </c>
      <c r="J409">
        <f t="shared" si="79"/>
        <v>0.46625240412015689</v>
      </c>
      <c r="K409">
        <f t="shared" si="80"/>
        <v>0.75</v>
      </c>
      <c r="L409">
        <v>1</v>
      </c>
      <c r="M409">
        <f t="shared" si="78"/>
        <v>1.085670106899709</v>
      </c>
      <c r="N409">
        <f t="shared" si="81"/>
        <v>6.9249196944027327</v>
      </c>
      <c r="O409">
        <f t="shared" si="82"/>
        <v>1.1135078019484193</v>
      </c>
      <c r="P409">
        <f t="shared" si="83"/>
        <v>1.1135078019484193</v>
      </c>
      <c r="Q409">
        <f t="shared" si="84"/>
        <v>86.915977316633132</v>
      </c>
    </row>
    <row r="410" spans="1:17" x14ac:dyDescent="0.6">
      <c r="A410">
        <v>409</v>
      </c>
      <c r="B410" s="2" t="s">
        <v>85</v>
      </c>
      <c r="C410" t="s">
        <v>10</v>
      </c>
      <c r="D410">
        <v>333</v>
      </c>
      <c r="F410">
        <v>82</v>
      </c>
      <c r="G410">
        <v>16.614000000000001</v>
      </c>
      <c r="H410">
        <f t="shared" si="85"/>
        <v>1303.7609512397642</v>
      </c>
      <c r="I410">
        <v>218</v>
      </c>
      <c r="J410">
        <f t="shared" si="79"/>
        <v>0.46625240412015689</v>
      </c>
      <c r="K410">
        <f t="shared" si="80"/>
        <v>0.75</v>
      </c>
      <c r="L410">
        <v>1</v>
      </c>
      <c r="M410">
        <f t="shared" si="78"/>
        <v>1.1326261354011529</v>
      </c>
      <c r="N410">
        <f t="shared" si="81"/>
        <v>5.3765933902806839</v>
      </c>
      <c r="O410">
        <f t="shared" si="82"/>
        <v>1.1616678311806696</v>
      </c>
      <c r="P410">
        <f t="shared" si="83"/>
        <v>1.1616678311806696</v>
      </c>
      <c r="Q410">
        <f t="shared" si="84"/>
        <v>124.19204684158898</v>
      </c>
    </row>
    <row r="411" spans="1:17" x14ac:dyDescent="0.6">
      <c r="A411">
        <v>410</v>
      </c>
      <c r="B411" s="2" t="s">
        <v>85</v>
      </c>
      <c r="C411" t="s">
        <v>7</v>
      </c>
      <c r="D411">
        <v>201</v>
      </c>
      <c r="F411">
        <v>78</v>
      </c>
      <c r="G411">
        <v>9.7270000000000003</v>
      </c>
      <c r="H411">
        <f>4*D411+2*F411</f>
        <v>960</v>
      </c>
      <c r="I411">
        <v>128</v>
      </c>
      <c r="J411">
        <f t="shared" si="79"/>
        <v>0.47673129462279618</v>
      </c>
      <c r="K411">
        <f t="shared" si="80"/>
        <v>0.75</v>
      </c>
      <c r="L411">
        <v>1</v>
      </c>
      <c r="M411">
        <f t="shared" si="78"/>
        <v>0.86664040609953974</v>
      </c>
      <c r="N411">
        <f t="shared" si="81"/>
        <v>5.230250871898976</v>
      </c>
      <c r="O411">
        <f t="shared" si="82"/>
        <v>0.88886195497388687</v>
      </c>
      <c r="P411">
        <f t="shared" si="83"/>
        <v>0.88886195497388687</v>
      </c>
      <c r="Q411">
        <f t="shared" si="84"/>
        <v>66.557983188444652</v>
      </c>
    </row>
    <row r="412" spans="1:17" x14ac:dyDescent="0.6">
      <c r="A412">
        <v>411</v>
      </c>
      <c r="B412" s="2" t="s">
        <v>85</v>
      </c>
      <c r="C412" t="s">
        <v>10</v>
      </c>
      <c r="D412">
        <v>221</v>
      </c>
      <c r="F412">
        <v>82</v>
      </c>
      <c r="G412">
        <v>9.3010000000000002</v>
      </c>
      <c r="H412">
        <f t="shared" ref="H412:H413" si="86">PI()*(D412+F412)</f>
        <v>951.90257403770727</v>
      </c>
      <c r="I412">
        <v>181</v>
      </c>
      <c r="J412">
        <f t="shared" si="79"/>
        <v>0.46625240412015689</v>
      </c>
      <c r="K412">
        <f t="shared" si="80"/>
        <v>0.75</v>
      </c>
      <c r="L412">
        <v>1</v>
      </c>
      <c r="M412">
        <f t="shared" si="78"/>
        <v>0.84745041732724702</v>
      </c>
      <c r="N412">
        <f t="shared" si="81"/>
        <v>5.4054413469462741</v>
      </c>
      <c r="O412">
        <f t="shared" si="82"/>
        <v>0.86917991520743276</v>
      </c>
      <c r="P412">
        <f t="shared" si="83"/>
        <v>0.86917991520743276</v>
      </c>
      <c r="Q412">
        <f t="shared" si="84"/>
        <v>67.844717084202173</v>
      </c>
    </row>
    <row r="413" spans="1:17" x14ac:dyDescent="0.6">
      <c r="A413">
        <v>412</v>
      </c>
      <c r="B413" s="2" t="s">
        <v>85</v>
      </c>
      <c r="C413" t="s">
        <v>10</v>
      </c>
      <c r="D413">
        <v>221</v>
      </c>
      <c r="F413">
        <v>82</v>
      </c>
      <c r="G413">
        <v>15.904</v>
      </c>
      <c r="H413">
        <f t="shared" si="86"/>
        <v>951.90257403770727</v>
      </c>
      <c r="I413">
        <v>245</v>
      </c>
      <c r="J413">
        <f t="shared" si="79"/>
        <v>0.46625240412015689</v>
      </c>
      <c r="K413">
        <f t="shared" si="80"/>
        <v>0.75</v>
      </c>
      <c r="L413">
        <v>1</v>
      </c>
      <c r="M413">
        <f t="shared" si="78"/>
        <v>1.108160483188243</v>
      </c>
      <c r="N413">
        <f t="shared" si="81"/>
        <v>7.068373998528088</v>
      </c>
      <c r="O413">
        <f t="shared" si="82"/>
        <v>1.136574854552044</v>
      </c>
      <c r="P413">
        <f t="shared" si="83"/>
        <v>1.136574854552044</v>
      </c>
      <c r="Q413">
        <f t="shared" si="84"/>
        <v>88.716499430039107</v>
      </c>
    </row>
    <row r="414" spans="1:17" x14ac:dyDescent="0.6">
      <c r="A414">
        <v>413</v>
      </c>
      <c r="B414" s="2" t="s">
        <v>85</v>
      </c>
      <c r="C414" t="s">
        <v>7</v>
      </c>
      <c r="D414">
        <v>201</v>
      </c>
      <c r="F414">
        <v>82</v>
      </c>
      <c r="G414">
        <v>8.7330000000000005</v>
      </c>
      <c r="H414">
        <f t="shared" ref="H414:H415" si="87">4*D414+2*F414</f>
        <v>968</v>
      </c>
      <c r="I414">
        <v>162</v>
      </c>
      <c r="J414">
        <f t="shared" si="79"/>
        <v>0.46625240412015689</v>
      </c>
      <c r="K414">
        <f t="shared" si="80"/>
        <v>0.75</v>
      </c>
      <c r="L414">
        <v>1</v>
      </c>
      <c r="M414">
        <f t="shared" si="78"/>
        <v>0.82116646604274168</v>
      </c>
      <c r="N414">
        <f t="shared" si="81"/>
        <v>5.1552394973444491</v>
      </c>
      <c r="O414">
        <f t="shared" si="82"/>
        <v>0.842222016454094</v>
      </c>
      <c r="P414">
        <f t="shared" si="83"/>
        <v>0.842222016454094</v>
      </c>
      <c r="Q414">
        <f t="shared" si="84"/>
        <v>66.852214778060173</v>
      </c>
    </row>
    <row r="415" spans="1:17" x14ac:dyDescent="0.6">
      <c r="A415">
        <v>414</v>
      </c>
      <c r="B415" s="2" t="s">
        <v>85</v>
      </c>
      <c r="C415" t="s">
        <v>7</v>
      </c>
      <c r="D415">
        <v>201</v>
      </c>
      <c r="F415">
        <v>82</v>
      </c>
      <c r="G415">
        <v>12.353999999999999</v>
      </c>
      <c r="H415">
        <f t="shared" si="87"/>
        <v>968</v>
      </c>
      <c r="I415">
        <v>215</v>
      </c>
      <c r="J415">
        <f t="shared" si="79"/>
        <v>0.46625240412015689</v>
      </c>
      <c r="K415">
        <f t="shared" si="80"/>
        <v>0.75</v>
      </c>
      <c r="L415">
        <v>1</v>
      </c>
      <c r="M415">
        <f t="shared" si="78"/>
        <v>0.97668220319162691</v>
      </c>
      <c r="N415">
        <f t="shared" si="81"/>
        <v>6.1315590424814035</v>
      </c>
      <c r="O415">
        <f t="shared" si="82"/>
        <v>1.0017253366067969</v>
      </c>
      <c r="P415">
        <f t="shared" si="83"/>
        <v>1.0017253366067969</v>
      </c>
      <c r="Q415">
        <f t="shared" si="84"/>
        <v>79.512950318501112</v>
      </c>
    </row>
    <row r="416" spans="1:17" x14ac:dyDescent="0.6">
      <c r="A416">
        <v>415</v>
      </c>
      <c r="B416" s="2" t="s">
        <v>85</v>
      </c>
      <c r="C416" t="s">
        <v>10</v>
      </c>
      <c r="D416">
        <v>201</v>
      </c>
      <c r="F416">
        <v>83</v>
      </c>
      <c r="G416">
        <v>13.276999999999999</v>
      </c>
      <c r="H416">
        <f t="shared" ref="H416:H418" si="88">PI()*(D416+F416)</f>
        <v>892.21231361950129</v>
      </c>
      <c r="I416">
        <v>307</v>
      </c>
      <c r="J416">
        <f t="shared" si="79"/>
        <v>0.46373889576016825</v>
      </c>
      <c r="K416">
        <f t="shared" si="80"/>
        <v>0.75</v>
      </c>
      <c r="L416">
        <v>1</v>
      </c>
      <c r="M416">
        <f t="shared" si="78"/>
        <v>1.012510308072528</v>
      </c>
      <c r="N416">
        <f t="shared" si="81"/>
        <v>6.9473970353733074</v>
      </c>
      <c r="O416">
        <f t="shared" si="82"/>
        <v>1.0384721108436183</v>
      </c>
      <c r="P416">
        <f t="shared" si="83"/>
        <v>1.0384721108436183</v>
      </c>
      <c r="Q416">
        <f t="shared" si="84"/>
        <v>76.902621185544291</v>
      </c>
    </row>
    <row r="417" spans="1:17" x14ac:dyDescent="0.6">
      <c r="A417">
        <v>416</v>
      </c>
      <c r="B417" s="2" t="s">
        <v>85</v>
      </c>
      <c r="C417" t="s">
        <v>10</v>
      </c>
      <c r="D417">
        <v>300</v>
      </c>
      <c r="F417">
        <v>80</v>
      </c>
      <c r="G417">
        <v>15.62</v>
      </c>
      <c r="H417">
        <f t="shared" si="88"/>
        <v>1193.8052083641214</v>
      </c>
      <c r="I417">
        <v>239</v>
      </c>
      <c r="J417">
        <f t="shared" si="79"/>
        <v>0.47140452079103168</v>
      </c>
      <c r="K417">
        <f t="shared" si="80"/>
        <v>0.75</v>
      </c>
      <c r="L417">
        <v>1</v>
      </c>
      <c r="M417">
        <f t="shared" si="78"/>
        <v>1.0982216233814102</v>
      </c>
      <c r="N417">
        <f t="shared" si="81"/>
        <v>5.5306138551528354</v>
      </c>
      <c r="O417">
        <f t="shared" si="82"/>
        <v>1.1263811521860618</v>
      </c>
      <c r="P417">
        <f t="shared" si="83"/>
        <v>1.1263811521860618</v>
      </c>
      <c r="Q417">
        <f t="shared" si="84"/>
        <v>107.57437488663206</v>
      </c>
    </row>
    <row r="418" spans="1:17" x14ac:dyDescent="0.6">
      <c r="A418">
        <v>417</v>
      </c>
      <c r="B418" s="2" t="s">
        <v>85</v>
      </c>
      <c r="C418" t="s">
        <v>10</v>
      </c>
      <c r="D418">
        <v>221</v>
      </c>
      <c r="F418">
        <v>82</v>
      </c>
      <c r="G418">
        <v>8.6620000000000008</v>
      </c>
      <c r="H418">
        <f t="shared" si="88"/>
        <v>951.90257403770727</v>
      </c>
      <c r="I418">
        <v>152</v>
      </c>
      <c r="J418">
        <f t="shared" si="79"/>
        <v>0.46625240412015689</v>
      </c>
      <c r="K418">
        <f t="shared" si="80"/>
        <v>0.75</v>
      </c>
      <c r="L418">
        <v>1</v>
      </c>
      <c r="M418">
        <f t="shared" si="78"/>
        <v>0.81782157855106163</v>
      </c>
      <c r="N418">
        <f t="shared" si="81"/>
        <v>5.2164545379151184</v>
      </c>
      <c r="O418">
        <f t="shared" si="82"/>
        <v>0.83879136261647347</v>
      </c>
      <c r="P418">
        <f t="shared" si="83"/>
        <v>0.83879136261647347</v>
      </c>
      <c r="Q418">
        <f t="shared" si="84"/>
        <v>65.47270788672779</v>
      </c>
    </row>
    <row r="419" spans="1:17" x14ac:dyDescent="0.6">
      <c r="A419">
        <v>418</v>
      </c>
      <c r="B419" s="2" t="s">
        <v>85</v>
      </c>
      <c r="C419" t="s">
        <v>12</v>
      </c>
      <c r="D419">
        <v>201</v>
      </c>
      <c r="E419">
        <v>402</v>
      </c>
      <c r="F419">
        <v>82</v>
      </c>
      <c r="G419">
        <v>11.999000000000001</v>
      </c>
      <c r="H419">
        <f>2*D419+2*E419+2*F419</f>
        <v>1370</v>
      </c>
      <c r="I419">
        <v>244</v>
      </c>
      <c r="J419">
        <f t="shared" si="79"/>
        <v>0.46625240412015689</v>
      </c>
      <c r="K419">
        <f t="shared" si="80"/>
        <v>0.75</v>
      </c>
      <c r="L419">
        <f>D419/E419</f>
        <v>0.5</v>
      </c>
      <c r="M419">
        <f t="shared" si="78"/>
        <v>1.6042452127821278</v>
      </c>
      <c r="N419">
        <f t="shared" si="81"/>
        <v>4.3638181535248313</v>
      </c>
      <c r="O419">
        <f t="shared" si="82"/>
        <v>0.98722782325054048</v>
      </c>
      <c r="P419">
        <f t="shared" si="83"/>
        <v>0.98722782325054048</v>
      </c>
      <c r="Q419">
        <f t="shared" si="84"/>
        <v>110.90517366396571</v>
      </c>
    </row>
    <row r="420" spans="1:17" x14ac:dyDescent="0.6">
      <c r="A420">
        <v>419</v>
      </c>
      <c r="B420" s="2" t="s">
        <v>85</v>
      </c>
      <c r="C420" t="s">
        <v>10</v>
      </c>
      <c r="D420">
        <v>221</v>
      </c>
      <c r="F420">
        <v>82</v>
      </c>
      <c r="G420">
        <v>19.170000000000002</v>
      </c>
      <c r="H420">
        <f t="shared" ref="H420:H423" si="89">PI()*(D420+F420)</f>
        <v>951.90257403770727</v>
      </c>
      <c r="I420">
        <v>240</v>
      </c>
      <c r="J420">
        <f t="shared" si="79"/>
        <v>0.46625240412015689</v>
      </c>
      <c r="K420">
        <f t="shared" si="80"/>
        <v>0.75</v>
      </c>
      <c r="L420">
        <v>1</v>
      </c>
      <c r="M420">
        <f t="shared" si="78"/>
        <v>1.2166356334298494</v>
      </c>
      <c r="N420">
        <f t="shared" si="81"/>
        <v>7.7602800383899622</v>
      </c>
      <c r="O420">
        <f t="shared" si="82"/>
        <v>1.2478314189024096</v>
      </c>
      <c r="P420">
        <f t="shared" si="83"/>
        <v>1.2478314189024096</v>
      </c>
      <c r="Q420">
        <f t="shared" si="84"/>
        <v>97.400743048702921</v>
      </c>
    </row>
    <row r="421" spans="1:17" x14ac:dyDescent="0.6">
      <c r="A421">
        <v>420</v>
      </c>
      <c r="B421" s="2" t="s">
        <v>85</v>
      </c>
      <c r="C421" t="s">
        <v>10</v>
      </c>
      <c r="D421">
        <v>221</v>
      </c>
      <c r="F421">
        <v>82</v>
      </c>
      <c r="G421">
        <v>16.045999999999999</v>
      </c>
      <c r="H421">
        <f t="shared" si="89"/>
        <v>951.90257403770727</v>
      </c>
      <c r="I421">
        <v>201</v>
      </c>
      <c r="J421">
        <f t="shared" si="79"/>
        <v>0.46625240412015689</v>
      </c>
      <c r="K421">
        <f t="shared" si="80"/>
        <v>0.75</v>
      </c>
      <c r="L421">
        <v>1</v>
      </c>
      <c r="M421">
        <f t="shared" si="78"/>
        <v>1.1130966344925988</v>
      </c>
      <c r="N421">
        <f t="shared" si="81"/>
        <v>7.0998591164887346</v>
      </c>
      <c r="O421">
        <f t="shared" si="82"/>
        <v>1.1416375738385629</v>
      </c>
      <c r="P421">
        <f t="shared" si="83"/>
        <v>1.1416375738385629</v>
      </c>
      <c r="Q421">
        <f t="shared" si="84"/>
        <v>89.111675102717456</v>
      </c>
    </row>
    <row r="422" spans="1:17" x14ac:dyDescent="0.6">
      <c r="A422">
        <v>421</v>
      </c>
      <c r="B422" s="2" t="s">
        <v>85</v>
      </c>
      <c r="C422" t="s">
        <v>10</v>
      </c>
      <c r="D422">
        <v>119</v>
      </c>
      <c r="F422">
        <v>82</v>
      </c>
      <c r="G422">
        <v>8.875</v>
      </c>
      <c r="H422">
        <f t="shared" si="89"/>
        <v>631.46012337154843</v>
      </c>
      <c r="I422">
        <v>117</v>
      </c>
      <c r="J422">
        <f t="shared" si="79"/>
        <v>0.46625240412015689</v>
      </c>
      <c r="K422">
        <f t="shared" si="80"/>
        <v>0.75</v>
      </c>
      <c r="L422">
        <v>1</v>
      </c>
      <c r="M422">
        <f t="shared" si="78"/>
        <v>0.82781569577525838</v>
      </c>
      <c r="N422">
        <f t="shared" si="81"/>
        <v>7.819678613116321</v>
      </c>
      <c r="O422">
        <f t="shared" si="82"/>
        <v>0.84904173925667525</v>
      </c>
      <c r="P422">
        <f t="shared" si="83"/>
        <v>0.84904173925667525</v>
      </c>
      <c r="Q422">
        <f t="shared" si="84"/>
        <v>43.96315211632637</v>
      </c>
    </row>
    <row r="423" spans="1:17" x14ac:dyDescent="0.6">
      <c r="A423">
        <v>422</v>
      </c>
      <c r="B423" s="2" t="s">
        <v>85</v>
      </c>
      <c r="C423" t="s">
        <v>10</v>
      </c>
      <c r="D423">
        <v>119</v>
      </c>
      <c r="F423">
        <v>82</v>
      </c>
      <c r="G423">
        <v>10.366</v>
      </c>
      <c r="H423">
        <f t="shared" si="89"/>
        <v>631.46012337154843</v>
      </c>
      <c r="I423">
        <v>98</v>
      </c>
      <c r="J423">
        <f t="shared" si="79"/>
        <v>0.46625240412015689</v>
      </c>
      <c r="K423">
        <f t="shared" si="80"/>
        <v>0.75</v>
      </c>
      <c r="L423">
        <v>1</v>
      </c>
      <c r="M423">
        <f t="shared" si="78"/>
        <v>0.89465393810609828</v>
      </c>
      <c r="N423">
        <f t="shared" si="81"/>
        <v>8.4510432716509527</v>
      </c>
      <c r="O423">
        <f t="shared" si="82"/>
        <v>0.91759378267292124</v>
      </c>
      <c r="P423">
        <f t="shared" si="83"/>
        <v>0.91759378267292124</v>
      </c>
      <c r="Q423">
        <f t="shared" si="84"/>
        <v>47.512758423351912</v>
      </c>
    </row>
    <row r="424" spans="1:17" x14ac:dyDescent="0.6">
      <c r="A424">
        <v>423</v>
      </c>
      <c r="B424" s="2" t="s">
        <v>86</v>
      </c>
      <c r="C424" t="s">
        <v>7</v>
      </c>
      <c r="D424">
        <v>51</v>
      </c>
      <c r="F424">
        <v>63.5</v>
      </c>
      <c r="G424">
        <v>21.87</v>
      </c>
      <c r="H424">
        <f t="shared" ref="H424:H442" si="90">4*D424+2*F424</f>
        <v>331</v>
      </c>
      <c r="I424">
        <v>64</v>
      </c>
      <c r="J424">
        <f t="shared" si="79"/>
        <v>0.52164053095730112</v>
      </c>
      <c r="K424">
        <f t="shared" si="80"/>
        <v>0.75</v>
      </c>
      <c r="L424">
        <v>1</v>
      </c>
      <c r="M424">
        <f t="shared" si="78"/>
        <v>1.2994927690136451</v>
      </c>
      <c r="N424">
        <f t="shared" si="81"/>
        <v>17.92779314961534</v>
      </c>
      <c r="O424">
        <f t="shared" si="82"/>
        <v>1.3328130964242513</v>
      </c>
      <c r="P424">
        <f t="shared" si="83"/>
        <v>1.3328130964242513</v>
      </c>
      <c r="Q424">
        <f t="shared" si="84"/>
        <v>28.013732067193121</v>
      </c>
    </row>
    <row r="425" spans="1:17" x14ac:dyDescent="0.6">
      <c r="A425">
        <v>424</v>
      </c>
      <c r="B425" s="2" t="s">
        <v>86</v>
      </c>
      <c r="C425" t="s">
        <v>7</v>
      </c>
      <c r="D425">
        <v>76</v>
      </c>
      <c r="F425">
        <v>63.5</v>
      </c>
      <c r="G425">
        <v>20.7225</v>
      </c>
      <c r="H425">
        <f t="shared" si="90"/>
        <v>431</v>
      </c>
      <c r="I425">
        <v>83</v>
      </c>
      <c r="J425">
        <f t="shared" si="79"/>
        <v>0.52164053095730112</v>
      </c>
      <c r="K425">
        <f t="shared" si="80"/>
        <v>0.75</v>
      </c>
      <c r="L425">
        <v>1</v>
      </c>
      <c r="M425">
        <f t="shared" si="78"/>
        <v>1.2649418168592037</v>
      </c>
      <c r="N425">
        <f t="shared" si="81"/>
        <v>13.499972728477132</v>
      </c>
      <c r="O425">
        <f t="shared" si="82"/>
        <v>1.2973762224196961</v>
      </c>
      <c r="P425">
        <f t="shared" si="83"/>
        <v>1.2973762224196961</v>
      </c>
      <c r="Q425">
        <f t="shared" si="84"/>
        <v>35.507241143293456</v>
      </c>
    </row>
    <row r="426" spans="1:17" x14ac:dyDescent="0.6">
      <c r="A426">
        <v>425</v>
      </c>
      <c r="B426" s="2" t="s">
        <v>86</v>
      </c>
      <c r="C426" t="s">
        <v>7</v>
      </c>
      <c r="D426">
        <v>102</v>
      </c>
      <c r="F426">
        <v>63.5</v>
      </c>
      <c r="G426">
        <v>19.574999999999999</v>
      </c>
      <c r="H426">
        <f t="shared" si="90"/>
        <v>535</v>
      </c>
      <c r="I426">
        <v>78</v>
      </c>
      <c r="J426">
        <f t="shared" si="79"/>
        <v>0.52164053095730112</v>
      </c>
      <c r="K426">
        <f t="shared" si="80"/>
        <v>0.75</v>
      </c>
      <c r="L426">
        <v>1</v>
      </c>
      <c r="M426">
        <f t="shared" si="78"/>
        <v>1.2294202468478284</v>
      </c>
      <c r="N426">
        <f t="shared" si="81"/>
        <v>10.64993603897546</v>
      </c>
      <c r="O426">
        <f t="shared" si="82"/>
        <v>1.2609438429208497</v>
      </c>
      <c r="P426">
        <f t="shared" si="83"/>
        <v>1.2609438429208497</v>
      </c>
      <c r="Q426">
        <f t="shared" si="84"/>
        <v>42.837414703628568</v>
      </c>
    </row>
    <row r="427" spans="1:17" x14ac:dyDescent="0.6">
      <c r="A427">
        <v>426</v>
      </c>
      <c r="B427" s="2" t="s">
        <v>86</v>
      </c>
      <c r="C427" t="s">
        <v>7</v>
      </c>
      <c r="D427">
        <v>127</v>
      </c>
      <c r="F427">
        <v>63.5</v>
      </c>
      <c r="G427">
        <v>18.63</v>
      </c>
      <c r="H427">
        <f t="shared" si="90"/>
        <v>635</v>
      </c>
      <c r="I427">
        <v>88</v>
      </c>
      <c r="J427">
        <f t="shared" si="79"/>
        <v>0.52164053095730112</v>
      </c>
      <c r="K427">
        <f t="shared" si="80"/>
        <v>0.75</v>
      </c>
      <c r="L427">
        <v>1</v>
      </c>
      <c r="M427">
        <f t="shared" si="78"/>
        <v>1.1993775160864697</v>
      </c>
      <c r="N427">
        <f t="shared" si="81"/>
        <v>8.8164768287759792</v>
      </c>
      <c r="O427">
        <f t="shared" si="82"/>
        <v>1.2301307857297126</v>
      </c>
      <c r="P427">
        <f t="shared" si="83"/>
        <v>1.2301307857297126</v>
      </c>
      <c r="Q427">
        <f t="shared" si="84"/>
        <v>49.60194860758633</v>
      </c>
    </row>
    <row r="428" spans="1:17" x14ac:dyDescent="0.6">
      <c r="A428">
        <v>427</v>
      </c>
      <c r="B428" s="2" t="s">
        <v>86</v>
      </c>
      <c r="C428" t="s">
        <v>7</v>
      </c>
      <c r="D428">
        <v>152</v>
      </c>
      <c r="F428">
        <v>63.5</v>
      </c>
      <c r="G428">
        <v>15.525</v>
      </c>
      <c r="H428">
        <f t="shared" si="90"/>
        <v>735</v>
      </c>
      <c r="I428">
        <v>88</v>
      </c>
      <c r="J428">
        <f t="shared" si="79"/>
        <v>0.52164053095730112</v>
      </c>
      <c r="K428">
        <f t="shared" si="80"/>
        <v>0.75</v>
      </c>
      <c r="L428">
        <v>1</v>
      </c>
      <c r="M428">
        <f t="shared" si="78"/>
        <v>1.0948768675417913</v>
      </c>
      <c r="N428">
        <f t="shared" si="81"/>
        <v>7.0029521377452211</v>
      </c>
      <c r="O428">
        <f t="shared" si="82"/>
        <v>1.1229506333761963</v>
      </c>
      <c r="P428">
        <f t="shared" si="83"/>
        <v>1.1229506333761963</v>
      </c>
      <c r="Q428">
        <f t="shared" si="84"/>
        <v>52.410913436250524</v>
      </c>
    </row>
    <row r="429" spans="1:17" x14ac:dyDescent="0.6">
      <c r="A429">
        <v>428</v>
      </c>
      <c r="B429" s="2" t="s">
        <v>86</v>
      </c>
      <c r="C429" t="s">
        <v>7</v>
      </c>
      <c r="D429">
        <v>51</v>
      </c>
      <c r="F429">
        <v>60.8</v>
      </c>
      <c r="G429">
        <v>19.237500000000001</v>
      </c>
      <c r="H429">
        <f t="shared" si="90"/>
        <v>325.60000000000002</v>
      </c>
      <c r="I429">
        <v>71</v>
      </c>
      <c r="J429">
        <f t="shared" si="79"/>
        <v>0.5314940034527339</v>
      </c>
      <c r="K429">
        <f t="shared" si="80"/>
        <v>0.75</v>
      </c>
      <c r="L429">
        <v>1</v>
      </c>
      <c r="M429">
        <f t="shared" si="78"/>
        <v>1.218775715353706</v>
      </c>
      <c r="N429">
        <f t="shared" si="81"/>
        <v>16.377111516632475</v>
      </c>
      <c r="O429">
        <f t="shared" si="82"/>
        <v>1.2500263747217497</v>
      </c>
      <c r="P429">
        <f t="shared" si="83"/>
        <v>1.2500263747217497</v>
      </c>
      <c r="Q429">
        <f t="shared" si="84"/>
        <v>24.74612212665162</v>
      </c>
    </row>
    <row r="430" spans="1:17" x14ac:dyDescent="0.6">
      <c r="A430">
        <v>429</v>
      </c>
      <c r="B430" s="2" t="s">
        <v>86</v>
      </c>
      <c r="C430" t="s">
        <v>7</v>
      </c>
      <c r="D430">
        <v>102</v>
      </c>
      <c r="F430">
        <v>60.8</v>
      </c>
      <c r="G430">
        <v>19.102499999999999</v>
      </c>
      <c r="H430">
        <f t="shared" si="90"/>
        <v>529.6</v>
      </c>
      <c r="I430">
        <v>105</v>
      </c>
      <c r="J430">
        <f t="shared" si="79"/>
        <v>0.5314940034527339</v>
      </c>
      <c r="K430">
        <f t="shared" si="80"/>
        <v>0.75</v>
      </c>
      <c r="L430">
        <v>1</v>
      </c>
      <c r="M430">
        <f t="shared" si="78"/>
        <v>1.2144917804277486</v>
      </c>
      <c r="N430">
        <f t="shared" si="81"/>
        <v>10.189255813437637</v>
      </c>
      <c r="O430">
        <f t="shared" si="82"/>
        <v>1.2456325953105114</v>
      </c>
      <c r="P430">
        <f t="shared" si="83"/>
        <v>1.2456325953105114</v>
      </c>
      <c r="Q430">
        <f t="shared" si="84"/>
        <v>40.108970966567959</v>
      </c>
    </row>
    <row r="431" spans="1:17" x14ac:dyDescent="0.6">
      <c r="A431">
        <v>430</v>
      </c>
      <c r="B431" s="2" t="s">
        <v>86</v>
      </c>
      <c r="C431" t="s">
        <v>7</v>
      </c>
      <c r="D431">
        <v>152</v>
      </c>
      <c r="F431">
        <v>60.8</v>
      </c>
      <c r="G431">
        <v>18.225000000000001</v>
      </c>
      <c r="H431">
        <f t="shared" si="90"/>
        <v>729.6</v>
      </c>
      <c r="I431">
        <v>136</v>
      </c>
      <c r="J431">
        <f t="shared" si="79"/>
        <v>0.5314940034527339</v>
      </c>
      <c r="K431">
        <f t="shared" si="80"/>
        <v>0.75</v>
      </c>
      <c r="L431">
        <v>1</v>
      </c>
      <c r="M431">
        <f t="shared" si="78"/>
        <v>1.1862691715060396</v>
      </c>
      <c r="N431">
        <f t="shared" si="81"/>
        <v>7.3326696741630615</v>
      </c>
      <c r="O431">
        <f t="shared" si="82"/>
        <v>1.2166863297497843</v>
      </c>
      <c r="P431">
        <f t="shared" si="83"/>
        <v>1.2166863297497843</v>
      </c>
      <c r="Q431">
        <f t="shared" si="84"/>
        <v>53.971816248074909</v>
      </c>
    </row>
    <row r="432" spans="1:17" x14ac:dyDescent="0.6">
      <c r="A432">
        <v>431</v>
      </c>
      <c r="B432" s="1" t="s">
        <v>25</v>
      </c>
      <c r="C432" t="s">
        <v>7</v>
      </c>
      <c r="D432">
        <v>254</v>
      </c>
      <c r="F432">
        <v>114.3</v>
      </c>
      <c r="G432">
        <v>24.757000000000001</v>
      </c>
      <c r="H432">
        <f t="shared" si="90"/>
        <v>1244.5999999999999</v>
      </c>
      <c r="I432">
        <v>371</v>
      </c>
      <c r="J432">
        <f t="shared" si="79"/>
        <v>0.40112472606010974</v>
      </c>
      <c r="K432">
        <f t="shared" si="80"/>
        <v>0.85</v>
      </c>
      <c r="L432">
        <v>1</v>
      </c>
      <c r="M432">
        <f t="shared" si="78"/>
        <v>1.5669536355642832</v>
      </c>
      <c r="N432">
        <f t="shared" si="81"/>
        <v>10.62083754918276</v>
      </c>
      <c r="O432">
        <f t="shared" si="82"/>
        <v>1.6071319339120855</v>
      </c>
      <c r="P432">
        <f t="shared" si="83"/>
        <v>1.6071319339120855</v>
      </c>
      <c r="Q432">
        <f t="shared" si="84"/>
        <v>228.62702108543996</v>
      </c>
    </row>
    <row r="433" spans="1:17" x14ac:dyDescent="0.6">
      <c r="A433">
        <v>432</v>
      </c>
      <c r="B433" s="1" t="s">
        <v>25</v>
      </c>
      <c r="C433" t="s">
        <v>7</v>
      </c>
      <c r="D433">
        <v>254</v>
      </c>
      <c r="F433">
        <v>114.3</v>
      </c>
      <c r="G433">
        <v>22.135000000000002</v>
      </c>
      <c r="H433">
        <f t="shared" si="90"/>
        <v>1244.5999999999999</v>
      </c>
      <c r="I433">
        <v>389</v>
      </c>
      <c r="J433">
        <f t="shared" si="79"/>
        <v>0.40112472606010974</v>
      </c>
      <c r="K433">
        <f t="shared" si="80"/>
        <v>0.75</v>
      </c>
      <c r="L433">
        <v>1</v>
      </c>
      <c r="M433">
        <f t="shared" si="78"/>
        <v>1.3073420758773793</v>
      </c>
      <c r="N433">
        <f t="shared" si="81"/>
        <v>8.8611861218885295</v>
      </c>
      <c r="O433">
        <f t="shared" si="82"/>
        <v>1.3408636675665428</v>
      </c>
      <c r="P433">
        <f t="shared" si="83"/>
        <v>1.3408636675665428</v>
      </c>
      <c r="Q433">
        <f t="shared" si="84"/>
        <v>190.74828863067435</v>
      </c>
    </row>
    <row r="434" spans="1:17" x14ac:dyDescent="0.6">
      <c r="A434">
        <v>433</v>
      </c>
      <c r="B434" s="1" t="s">
        <v>25</v>
      </c>
      <c r="C434" t="s">
        <v>7</v>
      </c>
      <c r="D434">
        <v>254</v>
      </c>
      <c r="F434">
        <v>114.3</v>
      </c>
      <c r="G434">
        <v>23.256</v>
      </c>
      <c r="H434">
        <f t="shared" si="90"/>
        <v>1244.5999999999999</v>
      </c>
      <c r="I434">
        <v>392</v>
      </c>
      <c r="J434">
        <f t="shared" si="79"/>
        <v>0.40112472606010974</v>
      </c>
      <c r="K434">
        <f t="shared" si="80"/>
        <v>0.75</v>
      </c>
      <c r="L434">
        <v>1</v>
      </c>
      <c r="M434">
        <f t="shared" si="78"/>
        <v>1.340037602224281</v>
      </c>
      <c r="N434">
        <f t="shared" si="81"/>
        <v>9.0827969379548374</v>
      </c>
      <c r="O434">
        <f t="shared" si="82"/>
        <v>1.3743975407428524</v>
      </c>
      <c r="P434">
        <f t="shared" si="83"/>
        <v>1.3743975407428524</v>
      </c>
      <c r="Q434">
        <f t="shared" si="84"/>
        <v>195.51874298353769</v>
      </c>
    </row>
    <row r="435" spans="1:17" x14ac:dyDescent="0.6">
      <c r="A435">
        <v>434</v>
      </c>
      <c r="B435" s="1" t="s">
        <v>25</v>
      </c>
      <c r="C435" t="s">
        <v>7</v>
      </c>
      <c r="D435">
        <v>254</v>
      </c>
      <c r="F435">
        <v>114.3</v>
      </c>
      <c r="G435">
        <v>20.957000000000001</v>
      </c>
      <c r="H435">
        <f t="shared" si="90"/>
        <v>1244.5999999999999</v>
      </c>
      <c r="I435">
        <v>356</v>
      </c>
      <c r="J435">
        <f t="shared" si="79"/>
        <v>0.40112472606010974</v>
      </c>
      <c r="K435">
        <f t="shared" si="80"/>
        <v>0.75</v>
      </c>
      <c r="L435">
        <v>1</v>
      </c>
      <c r="M435">
        <f t="shared" si="78"/>
        <v>1.2720788513111621</v>
      </c>
      <c r="N435">
        <f t="shared" si="81"/>
        <v>8.6221714050023657</v>
      </c>
      <c r="O435">
        <f t="shared" si="82"/>
        <v>1.3046962577550381</v>
      </c>
      <c r="P435">
        <f t="shared" si="83"/>
        <v>1.3046962577550381</v>
      </c>
      <c r="Q435">
        <f t="shared" si="84"/>
        <v>185.60319320253947</v>
      </c>
    </row>
    <row r="436" spans="1:17" x14ac:dyDescent="0.6">
      <c r="A436">
        <v>435</v>
      </c>
      <c r="B436" s="1" t="s">
        <v>25</v>
      </c>
      <c r="C436" t="s">
        <v>7</v>
      </c>
      <c r="D436">
        <v>254</v>
      </c>
      <c r="F436">
        <v>114.3</v>
      </c>
      <c r="G436">
        <v>21.479500000000002</v>
      </c>
      <c r="H436">
        <f t="shared" si="90"/>
        <v>1244.5999999999999</v>
      </c>
      <c r="I436">
        <v>364</v>
      </c>
      <c r="J436">
        <f t="shared" si="79"/>
        <v>0.40112472606010974</v>
      </c>
      <c r="K436">
        <f t="shared" si="80"/>
        <v>0.75</v>
      </c>
      <c r="L436">
        <v>1</v>
      </c>
      <c r="M436">
        <f t="shared" si="78"/>
        <v>1.2878389605720071</v>
      </c>
      <c r="N436">
        <f t="shared" si="81"/>
        <v>8.7289936851373664</v>
      </c>
      <c r="O436">
        <f t="shared" si="82"/>
        <v>1.3208604723815458</v>
      </c>
      <c r="P436">
        <f t="shared" si="83"/>
        <v>1.3208604723815458</v>
      </c>
      <c r="Q436">
        <f t="shared" si="84"/>
        <v>187.90267849074999</v>
      </c>
    </row>
    <row r="437" spans="1:17" x14ac:dyDescent="0.6">
      <c r="A437">
        <v>436</v>
      </c>
      <c r="B437" s="1" t="s">
        <v>25</v>
      </c>
      <c r="C437" t="s">
        <v>7</v>
      </c>
      <c r="D437">
        <v>254</v>
      </c>
      <c r="F437">
        <v>114.3</v>
      </c>
      <c r="G437">
        <v>24.101500000000001</v>
      </c>
      <c r="H437">
        <f t="shared" si="90"/>
        <v>1244.5999999999999</v>
      </c>
      <c r="I437">
        <v>378</v>
      </c>
      <c r="J437">
        <f t="shared" si="79"/>
        <v>0.40112472606010974</v>
      </c>
      <c r="K437">
        <f t="shared" si="80"/>
        <v>0.85</v>
      </c>
      <c r="L437">
        <v>1</v>
      </c>
      <c r="M437">
        <f t="shared" si="78"/>
        <v>1.546070075124649</v>
      </c>
      <c r="N437">
        <f t="shared" si="81"/>
        <v>10.479288432575986</v>
      </c>
      <c r="O437">
        <f t="shared" si="82"/>
        <v>1.5857128975637425</v>
      </c>
      <c r="P437">
        <f t="shared" si="83"/>
        <v>1.5857128975637425</v>
      </c>
      <c r="Q437">
        <f t="shared" si="84"/>
        <v>225.57999652478537</v>
      </c>
    </row>
    <row r="438" spans="1:17" x14ac:dyDescent="0.6">
      <c r="A438">
        <v>437</v>
      </c>
      <c r="B438" s="1" t="s">
        <v>25</v>
      </c>
      <c r="C438" t="s">
        <v>7</v>
      </c>
      <c r="D438">
        <v>254</v>
      </c>
      <c r="F438">
        <v>114.3</v>
      </c>
      <c r="G438">
        <v>22.629000000000001</v>
      </c>
      <c r="H438">
        <f t="shared" si="90"/>
        <v>1244.5999999999999</v>
      </c>
      <c r="I438">
        <v>334</v>
      </c>
      <c r="J438">
        <f t="shared" si="79"/>
        <v>0.40112472606010974</v>
      </c>
      <c r="K438">
        <f t="shared" si="80"/>
        <v>0.75</v>
      </c>
      <c r="L438">
        <v>1</v>
      </c>
      <c r="M438">
        <f t="shared" si="78"/>
        <v>1.3218499438582754</v>
      </c>
      <c r="N438">
        <f t="shared" si="81"/>
        <v>8.9595206900039397</v>
      </c>
      <c r="O438">
        <f t="shared" si="82"/>
        <v>1.3557435321623335</v>
      </c>
      <c r="P438">
        <f t="shared" si="83"/>
        <v>1.3557435321623335</v>
      </c>
      <c r="Q438">
        <f t="shared" si="84"/>
        <v>192.86506513477215</v>
      </c>
    </row>
    <row r="439" spans="1:17" x14ac:dyDescent="0.6">
      <c r="A439">
        <v>438</v>
      </c>
      <c r="B439" s="1" t="s">
        <v>25</v>
      </c>
      <c r="C439" t="s">
        <v>7</v>
      </c>
      <c r="D439">
        <v>254</v>
      </c>
      <c r="F439">
        <v>114.3</v>
      </c>
      <c r="G439">
        <v>33.402000000000001</v>
      </c>
      <c r="H439">
        <f t="shared" si="90"/>
        <v>1244.5999999999999</v>
      </c>
      <c r="I439">
        <v>374</v>
      </c>
      <c r="J439">
        <f t="shared" si="79"/>
        <v>0.40112472606010974</v>
      </c>
      <c r="K439">
        <f t="shared" si="80"/>
        <v>0.85</v>
      </c>
      <c r="L439">
        <v>1</v>
      </c>
      <c r="M439">
        <f t="shared" si="78"/>
        <v>1.820092138707887</v>
      </c>
      <c r="N439">
        <f t="shared" si="81"/>
        <v>12.336614492616903</v>
      </c>
      <c r="O439">
        <f t="shared" si="82"/>
        <v>1.8667611679055252</v>
      </c>
      <c r="P439">
        <f t="shared" si="83"/>
        <v>1.8667611679055252</v>
      </c>
      <c r="Q439">
        <f t="shared" si="84"/>
        <v>265.56129953644722</v>
      </c>
    </row>
    <row r="440" spans="1:17" x14ac:dyDescent="0.6">
      <c r="A440">
        <v>439</v>
      </c>
      <c r="B440" s="1" t="s">
        <v>25</v>
      </c>
      <c r="C440" t="s">
        <v>7</v>
      </c>
      <c r="D440">
        <v>254</v>
      </c>
      <c r="F440">
        <v>114.3</v>
      </c>
      <c r="G440">
        <v>19.456</v>
      </c>
      <c r="H440">
        <f t="shared" si="90"/>
        <v>1244.5999999999999</v>
      </c>
      <c r="I440">
        <v>311</v>
      </c>
      <c r="J440">
        <f t="shared" si="79"/>
        <v>0.40112472606010974</v>
      </c>
      <c r="K440">
        <f t="shared" si="80"/>
        <v>0.75</v>
      </c>
      <c r="L440">
        <v>1</v>
      </c>
      <c r="M440">
        <f t="shared" si="78"/>
        <v>1.2256776150358628</v>
      </c>
      <c r="N440">
        <f t="shared" si="81"/>
        <v>8.3076630613118194</v>
      </c>
      <c r="O440">
        <f t="shared" si="82"/>
        <v>1.2571052461906285</v>
      </c>
      <c r="P440">
        <f t="shared" si="83"/>
        <v>1.2571052461906285</v>
      </c>
      <c r="Q440">
        <f t="shared" si="84"/>
        <v>178.83300154943223</v>
      </c>
    </row>
    <row r="441" spans="1:17" x14ac:dyDescent="0.6">
      <c r="A441">
        <v>440</v>
      </c>
      <c r="B441" s="1" t="s">
        <v>25</v>
      </c>
      <c r="C441" t="s">
        <v>7</v>
      </c>
      <c r="D441">
        <v>203</v>
      </c>
      <c r="F441">
        <v>114.3</v>
      </c>
      <c r="G441">
        <v>21.09</v>
      </c>
      <c r="H441">
        <f t="shared" si="90"/>
        <v>1040.5999999999999</v>
      </c>
      <c r="I441">
        <v>343</v>
      </c>
      <c r="J441">
        <f t="shared" si="79"/>
        <v>0.40112472606010974</v>
      </c>
      <c r="K441">
        <f t="shared" si="80"/>
        <v>0.75</v>
      </c>
      <c r="L441">
        <v>1</v>
      </c>
      <c r="M441">
        <f t="shared" si="78"/>
        <v>1.2761089822312397</v>
      </c>
      <c r="N441">
        <f t="shared" si="81"/>
        <v>10.261749931844474</v>
      </c>
      <c r="O441">
        <f t="shared" si="82"/>
        <v>1.308829725365374</v>
      </c>
      <c r="P441">
        <f t="shared" si="83"/>
        <v>1.308829725365374</v>
      </c>
      <c r="Q441">
        <f t="shared" si="84"/>
        <v>155.6729666561983</v>
      </c>
    </row>
    <row r="442" spans="1:17" x14ac:dyDescent="0.6">
      <c r="A442">
        <v>441</v>
      </c>
      <c r="B442" s="1" t="s">
        <v>25</v>
      </c>
      <c r="C442" t="s">
        <v>7</v>
      </c>
      <c r="D442">
        <v>203</v>
      </c>
      <c r="F442">
        <v>114.3</v>
      </c>
      <c r="G442">
        <v>21.878499999999999</v>
      </c>
      <c r="H442">
        <f t="shared" si="90"/>
        <v>1040.5999999999999</v>
      </c>
      <c r="I442">
        <v>378</v>
      </c>
      <c r="J442">
        <f t="shared" si="79"/>
        <v>0.40112472606010974</v>
      </c>
      <c r="K442">
        <f t="shared" si="80"/>
        <v>0.75</v>
      </c>
      <c r="L442">
        <v>1</v>
      </c>
      <c r="M442">
        <f t="shared" si="78"/>
        <v>1.2997452750833767</v>
      </c>
      <c r="N442">
        <f t="shared" si="81"/>
        <v>10.451819690730099</v>
      </c>
      <c r="O442">
        <f t="shared" si="82"/>
        <v>1.3330720770085915</v>
      </c>
      <c r="P442">
        <f t="shared" si="83"/>
        <v>1.3330720770085915</v>
      </c>
      <c r="Q442">
        <f t="shared" si="84"/>
        <v>158.55636602120651</v>
      </c>
    </row>
    <row r="443" spans="1:17" x14ac:dyDescent="0.6">
      <c r="A443">
        <v>442</v>
      </c>
      <c r="B443" s="1" t="s">
        <v>25</v>
      </c>
      <c r="C443" t="s">
        <v>12</v>
      </c>
      <c r="D443">
        <v>457</v>
      </c>
      <c r="E443">
        <v>152</v>
      </c>
      <c r="F443">
        <v>114.3</v>
      </c>
      <c r="G443">
        <v>26.201000000000001</v>
      </c>
      <c r="H443">
        <f>2*D443+2*E443+2*F443</f>
        <v>1446.6</v>
      </c>
      <c r="I443">
        <v>394</v>
      </c>
      <c r="J443">
        <f t="shared" si="79"/>
        <v>0.40112472606010974</v>
      </c>
      <c r="K443">
        <f t="shared" si="80"/>
        <v>0.85</v>
      </c>
      <c r="L443">
        <f>D443/E443</f>
        <v>3.0065789473684212</v>
      </c>
      <c r="M443">
        <f t="shared" si="78"/>
        <v>0.89477383008707334</v>
      </c>
      <c r="N443">
        <f t="shared" si="81"/>
        <v>9.4755121535266191</v>
      </c>
      <c r="O443">
        <f t="shared" si="82"/>
        <v>1.6533372701902054</v>
      </c>
      <c r="P443">
        <f t="shared" si="83"/>
        <v>1.6533372701902054</v>
      </c>
      <c r="Q443">
        <f t="shared" si="84"/>
        <v>273.37333254503238</v>
      </c>
    </row>
    <row r="444" spans="1:17" x14ac:dyDescent="0.6">
      <c r="A444">
        <v>443</v>
      </c>
      <c r="B444" s="1" t="s">
        <v>25</v>
      </c>
      <c r="C444" t="s">
        <v>7</v>
      </c>
      <c r="D444">
        <v>152</v>
      </c>
      <c r="F444">
        <v>114.3</v>
      </c>
      <c r="G444">
        <v>25.213000000000001</v>
      </c>
      <c r="H444">
        <f t="shared" ref="H444:H445" si="91">4*D444+2*F444</f>
        <v>836.6</v>
      </c>
      <c r="I444">
        <v>311</v>
      </c>
      <c r="J444">
        <f t="shared" si="79"/>
        <v>0.40112472606010974</v>
      </c>
      <c r="K444">
        <f t="shared" si="80"/>
        <v>0.85</v>
      </c>
      <c r="L444">
        <v>1</v>
      </c>
      <c r="M444">
        <f t="shared" si="78"/>
        <v>1.5813186752116493</v>
      </c>
      <c r="N444">
        <f t="shared" si="81"/>
        <v>15.688282798309055</v>
      </c>
      <c r="O444">
        <f t="shared" si="82"/>
        <v>1.6218653079093839</v>
      </c>
      <c r="P444">
        <f t="shared" si="83"/>
        <v>1.6218653079093839</v>
      </c>
      <c r="Q444">
        <f t="shared" si="84"/>
        <v>155.08824264703603</v>
      </c>
    </row>
    <row r="445" spans="1:17" x14ac:dyDescent="0.6">
      <c r="A445">
        <v>444</v>
      </c>
      <c r="B445" s="1" t="s">
        <v>25</v>
      </c>
      <c r="C445" t="s">
        <v>7</v>
      </c>
      <c r="D445">
        <v>305</v>
      </c>
      <c r="F445">
        <v>114.3</v>
      </c>
      <c r="G445">
        <v>19.779</v>
      </c>
      <c r="H445">
        <f t="shared" si="91"/>
        <v>1448.6</v>
      </c>
      <c r="I445">
        <v>433</v>
      </c>
      <c r="J445">
        <f t="shared" si="79"/>
        <v>0.40112472606010974</v>
      </c>
      <c r="K445">
        <f t="shared" si="80"/>
        <v>0.75</v>
      </c>
      <c r="L445">
        <v>1</v>
      </c>
      <c r="M445">
        <f t="shared" si="78"/>
        <v>1.2358098173047807</v>
      </c>
      <c r="N445">
        <f t="shared" si="81"/>
        <v>7.2547473107410685</v>
      </c>
      <c r="O445">
        <f t="shared" si="82"/>
        <v>1.2674972485177238</v>
      </c>
      <c r="P445">
        <f t="shared" si="83"/>
        <v>1.2674972485177238</v>
      </c>
      <c r="Q445">
        <f t="shared" si="84"/>
        <v>209.86583157337714</v>
      </c>
    </row>
    <row r="446" spans="1:17" x14ac:dyDescent="0.6">
      <c r="A446">
        <v>445</v>
      </c>
      <c r="B446" s="2" t="s">
        <v>87</v>
      </c>
      <c r="C446" t="s">
        <v>10</v>
      </c>
      <c r="D446">
        <v>150</v>
      </c>
      <c r="F446">
        <v>117</v>
      </c>
      <c r="G446">
        <v>26.175000000000001</v>
      </c>
      <c r="H446">
        <f t="shared" ref="H446:H468" si="92">PI()*(D446+F446)</f>
        <v>838.80523850847476</v>
      </c>
      <c r="I446">
        <v>255</v>
      </c>
      <c r="J446">
        <f t="shared" si="79"/>
        <v>0.39683789506627254</v>
      </c>
      <c r="K446">
        <f t="shared" si="80"/>
        <v>0.85</v>
      </c>
      <c r="L446">
        <v>1</v>
      </c>
      <c r="M446">
        <f t="shared" si="78"/>
        <v>1.6112038212108284</v>
      </c>
      <c r="N446">
        <f t="shared" si="81"/>
        <v>16.308108423740325</v>
      </c>
      <c r="O446">
        <f t="shared" si="82"/>
        <v>1.6525167397034137</v>
      </c>
      <c r="P446">
        <f t="shared" si="83"/>
        <v>1.6525167397034137</v>
      </c>
      <c r="Q446">
        <f t="shared" si="84"/>
        <v>162.1783446643818</v>
      </c>
    </row>
    <row r="447" spans="1:17" x14ac:dyDescent="0.6">
      <c r="A447">
        <v>446</v>
      </c>
      <c r="B447" s="2" t="s">
        <v>87</v>
      </c>
      <c r="C447" t="s">
        <v>10</v>
      </c>
      <c r="D447">
        <v>150</v>
      </c>
      <c r="F447">
        <v>118</v>
      </c>
      <c r="G447">
        <v>24.15</v>
      </c>
      <c r="H447">
        <f t="shared" si="92"/>
        <v>841.94683116206454</v>
      </c>
      <c r="I447">
        <v>275</v>
      </c>
      <c r="J447">
        <f t="shared" si="79"/>
        <v>0.39528470752104744</v>
      </c>
      <c r="K447">
        <f t="shared" si="80"/>
        <v>0.85</v>
      </c>
      <c r="L447">
        <v>1</v>
      </c>
      <c r="M447">
        <f t="shared" si="78"/>
        <v>1.5476248894172484</v>
      </c>
      <c r="N447">
        <f t="shared" si="81"/>
        <v>15.737050057106485</v>
      </c>
      <c r="O447">
        <f t="shared" si="82"/>
        <v>1.5873075788894855</v>
      </c>
      <c r="P447">
        <f t="shared" si="83"/>
        <v>1.5873075788894855</v>
      </c>
      <c r="Q447">
        <f t="shared" si="84"/>
        <v>157.69857316281269</v>
      </c>
    </row>
    <row r="448" spans="1:17" x14ac:dyDescent="0.6">
      <c r="A448">
        <v>447</v>
      </c>
      <c r="B448" s="2" t="s">
        <v>87</v>
      </c>
      <c r="C448" t="s">
        <v>10</v>
      </c>
      <c r="D448">
        <v>150</v>
      </c>
      <c r="F448">
        <v>121</v>
      </c>
      <c r="G448">
        <v>29.475000000000001</v>
      </c>
      <c r="H448">
        <f t="shared" si="92"/>
        <v>851.37160912283389</v>
      </c>
      <c r="I448">
        <v>334</v>
      </c>
      <c r="J448">
        <f t="shared" si="79"/>
        <v>0.39073233258228174</v>
      </c>
      <c r="K448">
        <f t="shared" si="80"/>
        <v>0.85</v>
      </c>
      <c r="L448">
        <v>1</v>
      </c>
      <c r="M448">
        <f t="shared" si="78"/>
        <v>1.7097556395715956</v>
      </c>
      <c r="N448">
        <f t="shared" si="81"/>
        <v>17.622313674931863</v>
      </c>
      <c r="O448">
        <f t="shared" si="82"/>
        <v>1.7535955277657391</v>
      </c>
      <c r="P448">
        <f t="shared" si="83"/>
        <v>1.7535955277657391</v>
      </c>
      <c r="Q448">
        <f t="shared" si="84"/>
        <v>180.64833499316723</v>
      </c>
    </row>
    <row r="449" spans="1:17" x14ac:dyDescent="0.6">
      <c r="A449">
        <v>448</v>
      </c>
      <c r="B449" s="2" t="s">
        <v>87</v>
      </c>
      <c r="C449" t="s">
        <v>10</v>
      </c>
      <c r="D449">
        <v>150</v>
      </c>
      <c r="F449">
        <v>122</v>
      </c>
      <c r="G449">
        <v>27</v>
      </c>
      <c r="H449">
        <f t="shared" si="92"/>
        <v>854.51320177642378</v>
      </c>
      <c r="I449">
        <v>332</v>
      </c>
      <c r="J449">
        <f t="shared" si="79"/>
        <v>0.38924947208076149</v>
      </c>
      <c r="K449">
        <f t="shared" si="80"/>
        <v>0.85</v>
      </c>
      <c r="L449">
        <v>1</v>
      </c>
      <c r="M449">
        <f t="shared" si="78"/>
        <v>1.6363983017208861</v>
      </c>
      <c r="N449">
        <f t="shared" si="81"/>
        <v>16.940609128179169</v>
      </c>
      <c r="O449">
        <f t="shared" si="82"/>
        <v>1.6783572325342422</v>
      </c>
      <c r="P449">
        <f t="shared" si="83"/>
        <v>1.6783572325342422</v>
      </c>
      <c r="Q449">
        <f t="shared" si="84"/>
        <v>174.96976632468929</v>
      </c>
    </row>
    <row r="450" spans="1:17" x14ac:dyDescent="0.6">
      <c r="A450">
        <v>449</v>
      </c>
      <c r="B450" s="2" t="s">
        <v>87</v>
      </c>
      <c r="C450" t="s">
        <v>10</v>
      </c>
      <c r="D450">
        <v>300</v>
      </c>
      <c r="F450">
        <v>128</v>
      </c>
      <c r="G450">
        <v>24.3</v>
      </c>
      <c r="H450">
        <f t="shared" si="92"/>
        <v>1344.6016557364314</v>
      </c>
      <c r="I450">
        <v>430</v>
      </c>
      <c r="J450">
        <f t="shared" si="79"/>
        <v>0.38069349381344053</v>
      </c>
      <c r="K450">
        <f t="shared" si="80"/>
        <v>0.85</v>
      </c>
      <c r="L450">
        <v>1</v>
      </c>
      <c r="M450">
        <f t="shared" ref="M450:M513" si="93">0.19*(1+2/L450)*K450*0.65*(G450)^0.5</f>
        <v>1.5524237378008301</v>
      </c>
      <c r="N450">
        <f t="shared" si="81"/>
        <v>10.888262147870785</v>
      </c>
      <c r="O450">
        <f t="shared" si="82"/>
        <v>1.5922294746675181</v>
      </c>
      <c r="P450">
        <f t="shared" si="83"/>
        <v>1.5922294746675181</v>
      </c>
      <c r="Q450">
        <f t="shared" si="84"/>
        <v>274.03704165763753</v>
      </c>
    </row>
    <row r="451" spans="1:17" x14ac:dyDescent="0.6">
      <c r="A451">
        <v>450</v>
      </c>
      <c r="B451" s="2" t="s">
        <v>87</v>
      </c>
      <c r="C451" t="s">
        <v>10</v>
      </c>
      <c r="D451">
        <v>300</v>
      </c>
      <c r="F451">
        <v>124</v>
      </c>
      <c r="G451">
        <v>23.1</v>
      </c>
      <c r="H451">
        <f t="shared" si="92"/>
        <v>1332.0352851220723</v>
      </c>
      <c r="I451">
        <v>408</v>
      </c>
      <c r="J451">
        <f t="shared" ref="J451:J514" si="94">(2/(1+F451/10))^0.5</f>
        <v>0.38633370464312788</v>
      </c>
      <c r="K451">
        <f t="shared" ref="K451:K514" si="95">IF(G451&lt;24, 0.75, IF(G451&lt;35, 0.85, 1))</f>
        <v>0.75</v>
      </c>
      <c r="L451">
        <v>1</v>
      </c>
      <c r="M451">
        <f t="shared" si="93"/>
        <v>1.3355355895435737</v>
      </c>
      <c r="N451">
        <f t="shared" ref="N451:N514" si="96">(40*F451/H451+0.19)*K451*0.65*(G451)^0.5</f>
        <v>9.1697992690484647</v>
      </c>
      <c r="O451">
        <f t="shared" ref="O451:O514" si="97">0.38*K451*(G451)^0.5</f>
        <v>1.3697800918395626</v>
      </c>
      <c r="P451">
        <f t="shared" ref="P451:P514" si="98">O451</f>
        <v>1.3697800918395626</v>
      </c>
      <c r="Q451">
        <f t="shared" ref="Q451:Q514" si="99">P451*H451*F451/1000</f>
        <v>226.24983148331822</v>
      </c>
    </row>
    <row r="452" spans="1:17" x14ac:dyDescent="0.6">
      <c r="A452">
        <v>451</v>
      </c>
      <c r="B452" s="2" t="s">
        <v>87</v>
      </c>
      <c r="C452" t="s">
        <v>10</v>
      </c>
      <c r="D452">
        <v>300</v>
      </c>
      <c r="F452">
        <v>120</v>
      </c>
      <c r="G452">
        <v>27.675000000000001</v>
      </c>
      <c r="H452">
        <f t="shared" si="92"/>
        <v>1319.4689145077132</v>
      </c>
      <c r="I452">
        <v>491</v>
      </c>
      <c r="J452">
        <f t="shared" si="94"/>
        <v>0.39223227027636809</v>
      </c>
      <c r="K452">
        <f t="shared" si="95"/>
        <v>0.85</v>
      </c>
      <c r="L452">
        <v>1</v>
      </c>
      <c r="M452">
        <f t="shared" si="93"/>
        <v>1.6567270103797656</v>
      </c>
      <c r="N452">
        <f t="shared" si="96"/>
        <v>11.125727772614709</v>
      </c>
      <c r="O452">
        <f t="shared" si="97"/>
        <v>1.6992071901330927</v>
      </c>
      <c r="P452">
        <f t="shared" si="98"/>
        <v>1.6992071901330927</v>
      </c>
      <c r="Q452">
        <f t="shared" si="99"/>
        <v>269.04612800263362</v>
      </c>
    </row>
    <row r="453" spans="1:17" x14ac:dyDescent="0.6">
      <c r="A453">
        <v>452</v>
      </c>
      <c r="B453" s="2" t="s">
        <v>87</v>
      </c>
      <c r="C453" t="s">
        <v>10</v>
      </c>
      <c r="D453">
        <v>300</v>
      </c>
      <c r="F453">
        <v>119</v>
      </c>
      <c r="G453">
        <v>27.675000000000001</v>
      </c>
      <c r="H453">
        <f t="shared" si="92"/>
        <v>1316.3273218541233</v>
      </c>
      <c r="I453">
        <v>540</v>
      </c>
      <c r="J453">
        <f t="shared" si="94"/>
        <v>0.39374961547907888</v>
      </c>
      <c r="K453">
        <f t="shared" si="95"/>
        <v>0.85</v>
      </c>
      <c r="L453">
        <v>1</v>
      </c>
      <c r="M453">
        <f t="shared" si="93"/>
        <v>1.6567270103797656</v>
      </c>
      <c r="N453">
        <f t="shared" si="96"/>
        <v>11.062640150682599</v>
      </c>
      <c r="O453">
        <f t="shared" si="97"/>
        <v>1.6992071901330927</v>
      </c>
      <c r="P453">
        <f t="shared" si="98"/>
        <v>1.6992071901330927</v>
      </c>
      <c r="Q453">
        <f t="shared" si="99"/>
        <v>266.16882913371654</v>
      </c>
    </row>
    <row r="454" spans="1:17" x14ac:dyDescent="0.6">
      <c r="A454">
        <v>453</v>
      </c>
      <c r="B454" s="2" t="s">
        <v>87</v>
      </c>
      <c r="C454" t="s">
        <v>10</v>
      </c>
      <c r="D454">
        <v>300</v>
      </c>
      <c r="F454">
        <v>123</v>
      </c>
      <c r="G454">
        <v>24.225000000000001</v>
      </c>
      <c r="H454">
        <f t="shared" si="92"/>
        <v>1328.8936924684824</v>
      </c>
      <c r="I454">
        <v>258</v>
      </c>
      <c r="J454">
        <f t="shared" si="94"/>
        <v>0.38778336716474066</v>
      </c>
      <c r="K454">
        <f t="shared" si="95"/>
        <v>0.85</v>
      </c>
      <c r="L454">
        <v>1</v>
      </c>
      <c r="M454">
        <f t="shared" si="93"/>
        <v>1.5500261707518443</v>
      </c>
      <c r="N454">
        <f t="shared" si="96"/>
        <v>10.584578744114282</v>
      </c>
      <c r="O454">
        <f t="shared" si="97"/>
        <v>1.5897704315403531</v>
      </c>
      <c r="P454">
        <f t="shared" si="98"/>
        <v>1.5897704315403531</v>
      </c>
      <c r="Q454">
        <f t="shared" si="99"/>
        <v>259.85421557046533</v>
      </c>
    </row>
    <row r="455" spans="1:17" x14ac:dyDescent="0.6">
      <c r="A455">
        <v>454</v>
      </c>
      <c r="B455" s="2" t="s">
        <v>87</v>
      </c>
      <c r="C455" t="s">
        <v>10</v>
      </c>
      <c r="D455">
        <v>300</v>
      </c>
      <c r="F455">
        <v>125</v>
      </c>
      <c r="G455">
        <v>24.524999999999999</v>
      </c>
      <c r="H455">
        <f t="shared" si="92"/>
        <v>1335.176877775662</v>
      </c>
      <c r="I455">
        <v>258</v>
      </c>
      <c r="J455">
        <f t="shared" si="94"/>
        <v>0.38490017945975052</v>
      </c>
      <c r="K455">
        <f t="shared" si="95"/>
        <v>0.85</v>
      </c>
      <c r="L455">
        <v>1</v>
      </c>
      <c r="M455">
        <f t="shared" si="93"/>
        <v>1.5595943244007799</v>
      </c>
      <c r="N455">
        <f t="shared" si="96"/>
        <v>10.766186588895167</v>
      </c>
      <c r="O455">
        <f t="shared" si="97"/>
        <v>1.5995839224623385</v>
      </c>
      <c r="P455">
        <f t="shared" si="98"/>
        <v>1.5995839224623385</v>
      </c>
      <c r="Q455">
        <f t="shared" si="99"/>
        <v>266.96593341667648</v>
      </c>
    </row>
    <row r="456" spans="1:17" x14ac:dyDescent="0.6">
      <c r="A456">
        <v>455</v>
      </c>
      <c r="B456" s="2" t="s">
        <v>87</v>
      </c>
      <c r="C456" t="s">
        <v>10</v>
      </c>
      <c r="D456">
        <v>300</v>
      </c>
      <c r="F456">
        <v>120</v>
      </c>
      <c r="G456">
        <v>25.2</v>
      </c>
      <c r="H456">
        <f t="shared" si="92"/>
        <v>1319.4689145077132</v>
      </c>
      <c r="I456">
        <v>332</v>
      </c>
      <c r="J456">
        <f t="shared" si="94"/>
        <v>0.39223227027636809</v>
      </c>
      <c r="K456">
        <f t="shared" si="95"/>
        <v>0.85</v>
      </c>
      <c r="L456">
        <v>1</v>
      </c>
      <c r="M456">
        <f t="shared" si="93"/>
        <v>1.5809109531374625</v>
      </c>
      <c r="N456">
        <f t="shared" si="96"/>
        <v>10.6165860682868</v>
      </c>
      <c r="O456">
        <f t="shared" si="97"/>
        <v>1.6214471314230385</v>
      </c>
      <c r="P456">
        <f t="shared" si="98"/>
        <v>1.6214471314230385</v>
      </c>
      <c r="Q456">
        <f t="shared" si="99"/>
        <v>256.73389037164827</v>
      </c>
    </row>
    <row r="457" spans="1:17" x14ac:dyDescent="0.6">
      <c r="A457">
        <v>456</v>
      </c>
      <c r="B457" s="2" t="s">
        <v>87</v>
      </c>
      <c r="C457" t="s">
        <v>10</v>
      </c>
      <c r="D457">
        <v>300</v>
      </c>
      <c r="F457">
        <v>122</v>
      </c>
      <c r="G457">
        <v>23.024999999999999</v>
      </c>
      <c r="H457">
        <f t="shared" si="92"/>
        <v>1325.7520998148927</v>
      </c>
      <c r="I457">
        <v>332</v>
      </c>
      <c r="J457">
        <f t="shared" si="94"/>
        <v>0.38924947208076149</v>
      </c>
      <c r="K457">
        <f t="shared" si="95"/>
        <v>0.75</v>
      </c>
      <c r="L457">
        <v>1</v>
      </c>
      <c r="M457">
        <f t="shared" si="93"/>
        <v>1.3333657496222204</v>
      </c>
      <c r="N457">
        <f t="shared" si="96"/>
        <v>9.0550259658366343</v>
      </c>
      <c r="O457">
        <f t="shared" si="97"/>
        <v>1.3675546149971491</v>
      </c>
      <c r="P457">
        <f t="shared" si="98"/>
        <v>1.3675546149971491</v>
      </c>
      <c r="Q457">
        <f t="shared" si="99"/>
        <v>221.19068509817015</v>
      </c>
    </row>
    <row r="458" spans="1:17" x14ac:dyDescent="0.6">
      <c r="A458">
        <v>457</v>
      </c>
      <c r="B458" t="s">
        <v>16</v>
      </c>
      <c r="C458" t="s">
        <v>10</v>
      </c>
      <c r="D458">
        <v>100</v>
      </c>
      <c r="F458">
        <v>60</v>
      </c>
      <c r="G458">
        <v>24.75</v>
      </c>
      <c r="H458">
        <f t="shared" si="92"/>
        <v>502.6548245743669</v>
      </c>
      <c r="I458">
        <v>94</v>
      </c>
      <c r="J458">
        <f t="shared" si="94"/>
        <v>0.53452248382484879</v>
      </c>
      <c r="K458">
        <f t="shared" si="95"/>
        <v>0.85</v>
      </c>
      <c r="L458">
        <v>1</v>
      </c>
      <c r="M458">
        <f t="shared" si="93"/>
        <v>1.5667320931540114</v>
      </c>
      <c r="N458">
        <f t="shared" si="96"/>
        <v>13.646094406113066</v>
      </c>
      <c r="O458">
        <f t="shared" si="97"/>
        <v>1.6069047109271912</v>
      </c>
      <c r="P458">
        <f t="shared" si="98"/>
        <v>1.6069047109271912</v>
      </c>
      <c r="Q458">
        <f t="shared" si="99"/>
        <v>48.463104334729863</v>
      </c>
    </row>
    <row r="459" spans="1:17" x14ac:dyDescent="0.6">
      <c r="A459">
        <v>458</v>
      </c>
      <c r="B459" t="s">
        <v>16</v>
      </c>
      <c r="C459" t="s">
        <v>10</v>
      </c>
      <c r="D459">
        <v>100</v>
      </c>
      <c r="F459">
        <v>60</v>
      </c>
      <c r="G459">
        <v>26.774999999999999</v>
      </c>
      <c r="H459">
        <f t="shared" si="92"/>
        <v>502.6548245743669</v>
      </c>
      <c r="I459">
        <v>104</v>
      </c>
      <c r="J459">
        <f t="shared" si="94"/>
        <v>0.53452248382484879</v>
      </c>
      <c r="K459">
        <f t="shared" si="95"/>
        <v>0.85</v>
      </c>
      <c r="L459">
        <v>1</v>
      </c>
      <c r="M459">
        <f t="shared" si="93"/>
        <v>1.6295657111204123</v>
      </c>
      <c r="N459">
        <f t="shared" si="96"/>
        <v>14.193369518682591</v>
      </c>
      <c r="O459">
        <f t="shared" si="97"/>
        <v>1.6713494473029871</v>
      </c>
      <c r="P459">
        <f t="shared" si="98"/>
        <v>1.6713494473029871</v>
      </c>
      <c r="Q459">
        <f t="shared" si="99"/>
        <v>50.40671179419288</v>
      </c>
    </row>
    <row r="460" spans="1:17" x14ac:dyDescent="0.6">
      <c r="A460">
        <v>459</v>
      </c>
      <c r="B460" t="s">
        <v>16</v>
      </c>
      <c r="C460" t="s">
        <v>10</v>
      </c>
      <c r="D460">
        <v>100</v>
      </c>
      <c r="F460">
        <v>60</v>
      </c>
      <c r="G460">
        <v>24.6</v>
      </c>
      <c r="H460">
        <f t="shared" si="92"/>
        <v>502.6548245743669</v>
      </c>
      <c r="I460">
        <v>98</v>
      </c>
      <c r="J460">
        <f t="shared" si="94"/>
        <v>0.53452248382484879</v>
      </c>
      <c r="K460">
        <f t="shared" si="95"/>
        <v>0.85</v>
      </c>
      <c r="L460">
        <v>1</v>
      </c>
      <c r="M460">
        <f t="shared" si="93"/>
        <v>1.5619772048192637</v>
      </c>
      <c r="N460">
        <f t="shared" si="96"/>
        <v>13.604679760054548</v>
      </c>
      <c r="O460">
        <f t="shared" si="97"/>
        <v>1.602027902378732</v>
      </c>
      <c r="P460">
        <f t="shared" si="98"/>
        <v>1.602027902378732</v>
      </c>
      <c r="Q460">
        <f t="shared" si="99"/>
        <v>48.316023254005351</v>
      </c>
    </row>
    <row r="461" spans="1:17" x14ac:dyDescent="0.6">
      <c r="A461">
        <v>460</v>
      </c>
      <c r="B461" t="s">
        <v>16</v>
      </c>
      <c r="C461" t="s">
        <v>10</v>
      </c>
      <c r="D461">
        <v>100</v>
      </c>
      <c r="F461">
        <v>60</v>
      </c>
      <c r="G461">
        <v>25.574999999999999</v>
      </c>
      <c r="H461">
        <f t="shared" si="92"/>
        <v>502.6548245743669</v>
      </c>
      <c r="I461">
        <v>104</v>
      </c>
      <c r="J461">
        <f t="shared" si="94"/>
        <v>0.53452248382484879</v>
      </c>
      <c r="K461">
        <f t="shared" si="95"/>
        <v>0.85</v>
      </c>
      <c r="L461">
        <v>1</v>
      </c>
      <c r="M461">
        <f t="shared" si="93"/>
        <v>1.592630245885521</v>
      </c>
      <c r="N461">
        <f t="shared" si="96"/>
        <v>13.871664967067531</v>
      </c>
      <c r="O461">
        <f t="shared" si="97"/>
        <v>1.6334669188569446</v>
      </c>
      <c r="P461">
        <f t="shared" si="98"/>
        <v>1.6334669188569446</v>
      </c>
      <c r="Q461">
        <f t="shared" si="99"/>
        <v>49.264201652764143</v>
      </c>
    </row>
    <row r="462" spans="1:17" x14ac:dyDescent="0.6">
      <c r="A462">
        <v>461</v>
      </c>
      <c r="B462" t="s">
        <v>16</v>
      </c>
      <c r="C462" t="s">
        <v>10</v>
      </c>
      <c r="D462">
        <v>100</v>
      </c>
      <c r="F462">
        <v>60</v>
      </c>
      <c r="G462">
        <v>27.975000000000001</v>
      </c>
      <c r="H462">
        <f t="shared" si="92"/>
        <v>502.6548245743669</v>
      </c>
      <c r="I462">
        <v>82</v>
      </c>
      <c r="J462">
        <f t="shared" si="94"/>
        <v>0.53452248382484879</v>
      </c>
      <c r="K462">
        <f t="shared" si="95"/>
        <v>0.85</v>
      </c>
      <c r="L462">
        <v>1</v>
      </c>
      <c r="M462">
        <f t="shared" si="93"/>
        <v>1.6656823567563461</v>
      </c>
      <c r="N462">
        <f t="shared" si="96"/>
        <v>14.507942225869508</v>
      </c>
      <c r="O462">
        <f t="shared" si="97"/>
        <v>1.7083921607757395</v>
      </c>
      <c r="P462">
        <f t="shared" si="98"/>
        <v>1.7083921607757395</v>
      </c>
      <c r="Q462">
        <f t="shared" si="99"/>
        <v>51.523893712737177</v>
      </c>
    </row>
    <row r="463" spans="1:17" x14ac:dyDescent="0.6">
      <c r="A463">
        <v>462</v>
      </c>
      <c r="B463" t="s">
        <v>16</v>
      </c>
      <c r="C463" t="s">
        <v>10</v>
      </c>
      <c r="D463">
        <v>100</v>
      </c>
      <c r="F463">
        <v>60</v>
      </c>
      <c r="G463">
        <v>26.024999999999999</v>
      </c>
      <c r="H463">
        <f t="shared" si="92"/>
        <v>502.6548245743669</v>
      </c>
      <c r="I463">
        <v>82</v>
      </c>
      <c r="J463">
        <f t="shared" si="94"/>
        <v>0.53452248382484879</v>
      </c>
      <c r="K463">
        <f t="shared" si="95"/>
        <v>0.85</v>
      </c>
      <c r="L463">
        <v>1</v>
      </c>
      <c r="M463">
        <f t="shared" si="93"/>
        <v>1.6065805582480528</v>
      </c>
      <c r="N463">
        <f t="shared" si="96"/>
        <v>13.993170922250107</v>
      </c>
      <c r="O463">
        <f t="shared" si="97"/>
        <v>1.6477749315364643</v>
      </c>
      <c r="P463">
        <f t="shared" si="98"/>
        <v>1.6477749315364643</v>
      </c>
      <c r="Q463">
        <f t="shared" si="99"/>
        <v>49.695721148970051</v>
      </c>
    </row>
    <row r="464" spans="1:17" x14ac:dyDescent="0.6">
      <c r="A464">
        <v>463</v>
      </c>
      <c r="B464" t="s">
        <v>16</v>
      </c>
      <c r="C464" t="s">
        <v>10</v>
      </c>
      <c r="D464">
        <v>100</v>
      </c>
      <c r="F464">
        <v>60</v>
      </c>
      <c r="G464">
        <v>27.225000000000001</v>
      </c>
      <c r="H464">
        <f t="shared" si="92"/>
        <v>502.6548245743669</v>
      </c>
      <c r="I464">
        <v>113</v>
      </c>
      <c r="J464">
        <f t="shared" si="94"/>
        <v>0.53452248382484879</v>
      </c>
      <c r="K464">
        <f t="shared" si="95"/>
        <v>0.85</v>
      </c>
      <c r="L464">
        <v>1</v>
      </c>
      <c r="M464">
        <f t="shared" si="93"/>
        <v>1.6432024820120692</v>
      </c>
      <c r="N464">
        <f t="shared" si="96"/>
        <v>14.312144556096593</v>
      </c>
      <c r="O464">
        <f t="shared" si="97"/>
        <v>1.6853358789867376</v>
      </c>
      <c r="P464">
        <f t="shared" si="98"/>
        <v>1.6853358789867376</v>
      </c>
      <c r="Q464">
        <f t="shared" si="99"/>
        <v>50.828532636057908</v>
      </c>
    </row>
    <row r="465" spans="1:17" x14ac:dyDescent="0.6">
      <c r="A465">
        <v>464</v>
      </c>
      <c r="B465" t="s">
        <v>16</v>
      </c>
      <c r="C465" t="s">
        <v>10</v>
      </c>
      <c r="D465">
        <v>100</v>
      </c>
      <c r="F465">
        <v>60</v>
      </c>
      <c r="G465">
        <v>24.75</v>
      </c>
      <c r="H465">
        <f t="shared" si="92"/>
        <v>502.6548245743669</v>
      </c>
      <c r="I465">
        <v>100</v>
      </c>
      <c r="J465">
        <f t="shared" si="94"/>
        <v>0.53452248382484879</v>
      </c>
      <c r="K465">
        <f t="shared" si="95"/>
        <v>0.85</v>
      </c>
      <c r="L465">
        <v>1</v>
      </c>
      <c r="M465">
        <f t="shared" si="93"/>
        <v>1.5667320931540114</v>
      </c>
      <c r="N465">
        <f t="shared" si="96"/>
        <v>13.646094406113066</v>
      </c>
      <c r="O465">
        <f t="shared" si="97"/>
        <v>1.6069047109271912</v>
      </c>
      <c r="P465">
        <f t="shared" si="98"/>
        <v>1.6069047109271912</v>
      </c>
      <c r="Q465">
        <f t="shared" si="99"/>
        <v>48.463104334729863</v>
      </c>
    </row>
    <row r="466" spans="1:17" x14ac:dyDescent="0.6">
      <c r="A466">
        <v>465</v>
      </c>
      <c r="B466" t="s">
        <v>16</v>
      </c>
      <c r="C466" t="s">
        <v>10</v>
      </c>
      <c r="D466">
        <v>100</v>
      </c>
      <c r="F466">
        <v>64</v>
      </c>
      <c r="G466">
        <v>26.25</v>
      </c>
      <c r="H466">
        <f t="shared" si="92"/>
        <v>515.22119518872603</v>
      </c>
      <c r="I466">
        <v>118</v>
      </c>
      <c r="J466">
        <f t="shared" si="94"/>
        <v>0.51987524491003634</v>
      </c>
      <c r="K466">
        <f t="shared" si="95"/>
        <v>0.85</v>
      </c>
      <c r="L466">
        <v>1</v>
      </c>
      <c r="M466">
        <f t="shared" si="93"/>
        <v>1.6135104849849133</v>
      </c>
      <c r="N466">
        <f t="shared" si="96"/>
        <v>14.602948375286646</v>
      </c>
      <c r="O466">
        <f t="shared" si="97"/>
        <v>1.6548825487024752</v>
      </c>
      <c r="P466">
        <f t="shared" si="98"/>
        <v>1.6548825487024752</v>
      </c>
      <c r="Q466">
        <f t="shared" si="99"/>
        <v>54.568356136925082</v>
      </c>
    </row>
    <row r="467" spans="1:17" x14ac:dyDescent="0.6">
      <c r="A467">
        <v>466</v>
      </c>
      <c r="B467" s="1" t="s">
        <v>26</v>
      </c>
      <c r="C467" t="s">
        <v>10</v>
      </c>
      <c r="D467">
        <v>229</v>
      </c>
      <c r="F467">
        <v>80</v>
      </c>
      <c r="G467">
        <v>13.70726</v>
      </c>
      <c r="H467">
        <f t="shared" si="92"/>
        <v>970.75212995924608</v>
      </c>
      <c r="I467">
        <v>181</v>
      </c>
      <c r="J467">
        <f t="shared" si="94"/>
        <v>0.47140452079103168</v>
      </c>
      <c r="K467">
        <f t="shared" si="95"/>
        <v>0.75</v>
      </c>
      <c r="L467">
        <v>1</v>
      </c>
      <c r="M467">
        <f t="shared" si="93"/>
        <v>1.028785420506112</v>
      </c>
      <c r="N467">
        <f t="shared" si="96"/>
        <v>6.2925805733618008</v>
      </c>
      <c r="O467">
        <f t="shared" si="97"/>
        <v>1.0551645338524227</v>
      </c>
      <c r="P467">
        <f t="shared" si="98"/>
        <v>1.0551645338524227</v>
      </c>
      <c r="Q467">
        <f t="shared" si="99"/>
        <v>81.944257495575556</v>
      </c>
    </row>
    <row r="468" spans="1:17" x14ac:dyDescent="0.6">
      <c r="A468">
        <v>467</v>
      </c>
      <c r="B468" s="1" t="s">
        <v>26</v>
      </c>
      <c r="C468" t="s">
        <v>10</v>
      </c>
      <c r="D468">
        <v>229</v>
      </c>
      <c r="F468">
        <v>80</v>
      </c>
      <c r="G468">
        <v>12.72817</v>
      </c>
      <c r="H468">
        <f t="shared" si="92"/>
        <v>970.75212995924608</v>
      </c>
      <c r="I468">
        <v>152</v>
      </c>
      <c r="J468">
        <f t="shared" si="94"/>
        <v>0.47140452079103168</v>
      </c>
      <c r="K468">
        <f t="shared" si="95"/>
        <v>0.75</v>
      </c>
      <c r="L468">
        <v>1</v>
      </c>
      <c r="M468">
        <f t="shared" si="93"/>
        <v>0.991362436923377</v>
      </c>
      <c r="N468">
        <f t="shared" si="96"/>
        <v>6.0636823650511618</v>
      </c>
      <c r="O468">
        <f t="shared" si="97"/>
        <v>1.0167819865880789</v>
      </c>
      <c r="P468">
        <f t="shared" si="98"/>
        <v>1.0167819865880789</v>
      </c>
      <c r="Q468">
        <f t="shared" si="99"/>
        <v>78.963462334765708</v>
      </c>
    </row>
    <row r="469" spans="1:17" x14ac:dyDescent="0.6">
      <c r="A469">
        <v>468</v>
      </c>
      <c r="B469" s="1" t="s">
        <v>26</v>
      </c>
      <c r="C469" t="s">
        <v>12</v>
      </c>
      <c r="D469">
        <v>229</v>
      </c>
      <c r="E469">
        <v>432</v>
      </c>
      <c r="F469">
        <v>80</v>
      </c>
      <c r="G469">
        <v>14.196804999999999</v>
      </c>
      <c r="H469">
        <f>2*D469+2*E469+2*F469</f>
        <v>1482</v>
      </c>
      <c r="I469">
        <v>245</v>
      </c>
      <c r="J469">
        <f t="shared" si="94"/>
        <v>0.47140452079103168</v>
      </c>
      <c r="K469">
        <f t="shared" si="95"/>
        <v>0.75</v>
      </c>
      <c r="L469">
        <f>D469/E469</f>
        <v>0.53009259259259256</v>
      </c>
      <c r="M469">
        <f t="shared" si="93"/>
        <v>1.6657438141511849</v>
      </c>
      <c r="N469">
        <f t="shared" si="96"/>
        <v>4.3151719278236911</v>
      </c>
      <c r="O469">
        <f t="shared" si="97"/>
        <v>1.0738414622862167</v>
      </c>
      <c r="P469">
        <f t="shared" si="98"/>
        <v>1.0738414622862167</v>
      </c>
      <c r="Q469">
        <f t="shared" si="99"/>
        <v>127.31464376865385</v>
      </c>
    </row>
    <row r="470" spans="1:17" x14ac:dyDescent="0.6">
      <c r="A470">
        <v>469</v>
      </c>
      <c r="B470" s="1" t="s">
        <v>26</v>
      </c>
      <c r="C470" t="s">
        <v>10</v>
      </c>
      <c r="D470">
        <v>229</v>
      </c>
      <c r="F470">
        <v>80</v>
      </c>
      <c r="G470">
        <v>22.274297499999999</v>
      </c>
      <c r="H470">
        <f>PI()*(D470+F470)</f>
        <v>970.75212995924608</v>
      </c>
      <c r="I470">
        <v>245</v>
      </c>
      <c r="J470">
        <f t="shared" si="94"/>
        <v>0.47140452079103168</v>
      </c>
      <c r="K470">
        <f t="shared" si="95"/>
        <v>0.75</v>
      </c>
      <c r="L470">
        <v>1</v>
      </c>
      <c r="M470">
        <f t="shared" si="93"/>
        <v>1.311449233615106</v>
      </c>
      <c r="N470">
        <f t="shared" si="96"/>
        <v>8.021497783606673</v>
      </c>
      <c r="O470">
        <f t="shared" si="97"/>
        <v>1.3450761370411344</v>
      </c>
      <c r="P470">
        <f t="shared" si="98"/>
        <v>1.3450761370411344</v>
      </c>
      <c r="Q470">
        <f t="shared" si="99"/>
        <v>104.45884199920286</v>
      </c>
    </row>
    <row r="471" spans="1:17" x14ac:dyDescent="0.6">
      <c r="A471">
        <v>470</v>
      </c>
      <c r="B471" s="2" t="s">
        <v>88</v>
      </c>
      <c r="C471" t="s">
        <v>7</v>
      </c>
      <c r="D471">
        <v>254</v>
      </c>
      <c r="F471">
        <v>117.47499999999999</v>
      </c>
      <c r="G471">
        <v>13.360571999999999</v>
      </c>
      <c r="H471">
        <f t="shared" ref="H471:H497" si="100">4*D471+2*F471</f>
        <v>1250.95</v>
      </c>
      <c r="I471">
        <v>302</v>
      </c>
      <c r="J471">
        <f t="shared" si="94"/>
        <v>0.39609785221720722</v>
      </c>
      <c r="K471">
        <f t="shared" si="95"/>
        <v>0.75</v>
      </c>
      <c r="L471">
        <v>1</v>
      </c>
      <c r="M471">
        <f t="shared" si="93"/>
        <v>1.0156919294022857</v>
      </c>
      <c r="N471">
        <f t="shared" si="96"/>
        <v>7.0320542940174446</v>
      </c>
      <c r="O471">
        <f t="shared" si="97"/>
        <v>1.0417353122074724</v>
      </c>
      <c r="P471">
        <f t="shared" si="98"/>
        <v>1.0417353122074724</v>
      </c>
      <c r="Q471">
        <f t="shared" si="99"/>
        <v>153.0885787149775</v>
      </c>
    </row>
    <row r="472" spans="1:17" x14ac:dyDescent="0.6">
      <c r="A472">
        <v>471</v>
      </c>
      <c r="B472" s="2" t="s">
        <v>88</v>
      </c>
      <c r="C472" t="s">
        <v>7</v>
      </c>
      <c r="D472">
        <v>254</v>
      </c>
      <c r="F472">
        <v>117.47499999999999</v>
      </c>
      <c r="G472">
        <v>23.970438000000001</v>
      </c>
      <c r="H472">
        <f t="shared" si="100"/>
        <v>1250.95</v>
      </c>
      <c r="I472">
        <v>365</v>
      </c>
      <c r="J472">
        <f t="shared" si="94"/>
        <v>0.39609785221720722</v>
      </c>
      <c r="K472">
        <f t="shared" si="95"/>
        <v>0.75</v>
      </c>
      <c r="L472">
        <v>1</v>
      </c>
      <c r="M472">
        <f t="shared" si="93"/>
        <v>1.3604652731654323</v>
      </c>
      <c r="N472">
        <f t="shared" si="96"/>
        <v>9.419062403749237</v>
      </c>
      <c r="O472">
        <f t="shared" si="97"/>
        <v>1.395348998118392</v>
      </c>
      <c r="P472">
        <f t="shared" si="98"/>
        <v>1.395348998118392</v>
      </c>
      <c r="Q472">
        <f t="shared" si="99"/>
        <v>205.05400213482389</v>
      </c>
    </row>
    <row r="473" spans="1:17" x14ac:dyDescent="0.6">
      <c r="A473">
        <v>472</v>
      </c>
      <c r="B473" s="2" t="s">
        <v>88</v>
      </c>
      <c r="C473" t="s">
        <v>7</v>
      </c>
      <c r="D473">
        <v>254</v>
      </c>
      <c r="F473">
        <v>117.47499999999999</v>
      </c>
      <c r="G473">
        <v>27.572552999999999</v>
      </c>
      <c r="H473">
        <f t="shared" si="100"/>
        <v>1250.95</v>
      </c>
      <c r="I473">
        <v>356</v>
      </c>
      <c r="J473">
        <f t="shared" si="94"/>
        <v>0.39609785221720722</v>
      </c>
      <c r="K473">
        <f t="shared" si="95"/>
        <v>0.85</v>
      </c>
      <c r="L473">
        <v>1</v>
      </c>
      <c r="M473">
        <f t="shared" si="93"/>
        <v>1.6536577407043336</v>
      </c>
      <c r="N473">
        <f t="shared" si="96"/>
        <v>11.448954825503341</v>
      </c>
      <c r="O473">
        <f t="shared" si="97"/>
        <v>1.6960592212352139</v>
      </c>
      <c r="P473">
        <f t="shared" si="98"/>
        <v>1.6960592212352139</v>
      </c>
      <c r="Q473">
        <f t="shared" si="99"/>
        <v>249.24497859742235</v>
      </c>
    </row>
    <row r="474" spans="1:17" x14ac:dyDescent="0.6">
      <c r="A474">
        <v>473</v>
      </c>
      <c r="B474" s="2" t="s">
        <v>88</v>
      </c>
      <c r="C474" t="s">
        <v>7</v>
      </c>
      <c r="D474">
        <v>254</v>
      </c>
      <c r="F474">
        <v>117.47499999999999</v>
      </c>
      <c r="G474">
        <v>34.973261999999998</v>
      </c>
      <c r="H474">
        <f t="shared" si="100"/>
        <v>1250.95</v>
      </c>
      <c r="I474">
        <v>351</v>
      </c>
      <c r="J474">
        <f t="shared" si="94"/>
        <v>0.39609785221720722</v>
      </c>
      <c r="K474">
        <f t="shared" si="95"/>
        <v>0.85</v>
      </c>
      <c r="L474">
        <v>1</v>
      </c>
      <c r="M474">
        <f t="shared" si="93"/>
        <v>1.8624096305714</v>
      </c>
      <c r="N474">
        <f t="shared" si="96"/>
        <v>12.894230288495178</v>
      </c>
      <c r="O474">
        <f t="shared" si="97"/>
        <v>1.9101637236629745</v>
      </c>
      <c r="P474">
        <f t="shared" si="98"/>
        <v>1.9101637236629745</v>
      </c>
      <c r="Q474">
        <f t="shared" si="99"/>
        <v>280.70878095590035</v>
      </c>
    </row>
    <row r="475" spans="1:17" x14ac:dyDescent="0.6">
      <c r="A475">
        <v>474</v>
      </c>
      <c r="B475" s="2" t="s">
        <v>88</v>
      </c>
      <c r="C475" t="s">
        <v>7</v>
      </c>
      <c r="D475">
        <v>254</v>
      </c>
      <c r="F475">
        <v>117.47499999999999</v>
      </c>
      <c r="G475">
        <v>19.254942</v>
      </c>
      <c r="H475">
        <f t="shared" si="100"/>
        <v>1250.95</v>
      </c>
      <c r="I475">
        <v>356</v>
      </c>
      <c r="J475">
        <f t="shared" si="94"/>
        <v>0.39609785221720722</v>
      </c>
      <c r="K475">
        <f t="shared" si="95"/>
        <v>0.75</v>
      </c>
      <c r="L475">
        <v>1</v>
      </c>
      <c r="M475">
        <f t="shared" si="93"/>
        <v>1.2193281018320987</v>
      </c>
      <c r="N475">
        <f t="shared" si="96"/>
        <v>8.4419115344850688</v>
      </c>
      <c r="O475">
        <f t="shared" si="97"/>
        <v>1.2505929249559986</v>
      </c>
      <c r="P475">
        <f t="shared" si="98"/>
        <v>1.2505929249559986</v>
      </c>
      <c r="Q475">
        <f t="shared" si="99"/>
        <v>183.78132255767366</v>
      </c>
    </row>
    <row r="476" spans="1:17" x14ac:dyDescent="0.6">
      <c r="A476">
        <v>475</v>
      </c>
      <c r="B476" s="2" t="s">
        <v>88</v>
      </c>
      <c r="C476" t="s">
        <v>7</v>
      </c>
      <c r="D476">
        <v>254</v>
      </c>
      <c r="F476">
        <v>114.3</v>
      </c>
      <c r="G476">
        <v>12.967613999999999</v>
      </c>
      <c r="H476">
        <f t="shared" si="100"/>
        <v>1244.5999999999999</v>
      </c>
      <c r="I476">
        <v>334</v>
      </c>
      <c r="J476">
        <f t="shared" si="94"/>
        <v>0.40112472606010974</v>
      </c>
      <c r="K476">
        <f t="shared" si="95"/>
        <v>0.75</v>
      </c>
      <c r="L476">
        <v>1</v>
      </c>
      <c r="M476">
        <f t="shared" si="93"/>
        <v>1.0006438096655417</v>
      </c>
      <c r="N476">
        <f t="shared" si="96"/>
        <v>6.7823802222622156</v>
      </c>
      <c r="O476">
        <f t="shared" si="97"/>
        <v>1.0263013432467094</v>
      </c>
      <c r="P476">
        <f t="shared" si="98"/>
        <v>1.0263013432467094</v>
      </c>
      <c r="Q476">
        <f t="shared" si="99"/>
        <v>145.99935070129487</v>
      </c>
    </row>
    <row r="477" spans="1:17" x14ac:dyDescent="0.6">
      <c r="A477">
        <v>476</v>
      </c>
      <c r="B477" s="2" t="s">
        <v>88</v>
      </c>
      <c r="C477" t="s">
        <v>7</v>
      </c>
      <c r="D477">
        <v>254</v>
      </c>
      <c r="F477">
        <v>114.3</v>
      </c>
      <c r="G477">
        <v>18.534519</v>
      </c>
      <c r="H477">
        <f t="shared" si="100"/>
        <v>1244.5999999999999</v>
      </c>
      <c r="I477">
        <v>400</v>
      </c>
      <c r="J477">
        <f t="shared" si="94"/>
        <v>0.40112472606010974</v>
      </c>
      <c r="K477">
        <f t="shared" si="95"/>
        <v>0.75</v>
      </c>
      <c r="L477">
        <v>1</v>
      </c>
      <c r="M477">
        <f t="shared" si="93"/>
        <v>1.1963000906659498</v>
      </c>
      <c r="N477">
        <f t="shared" si="96"/>
        <v>8.1085417172921908</v>
      </c>
      <c r="O477">
        <f t="shared" si="97"/>
        <v>1.2269744519650765</v>
      </c>
      <c r="P477">
        <f t="shared" si="98"/>
        <v>1.2269744519650765</v>
      </c>
      <c r="Q477">
        <f t="shared" si="99"/>
        <v>174.54666165326839</v>
      </c>
    </row>
    <row r="478" spans="1:17" x14ac:dyDescent="0.6">
      <c r="A478">
        <v>477</v>
      </c>
      <c r="B478" s="2" t="s">
        <v>88</v>
      </c>
      <c r="C478" t="s">
        <v>7</v>
      </c>
      <c r="D478">
        <v>254</v>
      </c>
      <c r="F478">
        <v>114.3</v>
      </c>
      <c r="G478">
        <v>35.562699000000002</v>
      </c>
      <c r="H478">
        <f t="shared" si="100"/>
        <v>1244.5999999999999</v>
      </c>
      <c r="I478">
        <v>467</v>
      </c>
      <c r="J478">
        <f t="shared" si="94"/>
        <v>0.40112472606010974</v>
      </c>
      <c r="K478">
        <f t="shared" si="95"/>
        <v>1</v>
      </c>
      <c r="L478">
        <v>1</v>
      </c>
      <c r="M478">
        <f t="shared" si="93"/>
        <v>2.2094570786518464</v>
      </c>
      <c r="N478">
        <f t="shared" si="96"/>
        <v>14.97573646829864</v>
      </c>
      <c r="O478">
        <f t="shared" si="97"/>
        <v>2.266109824258304</v>
      </c>
      <c r="P478">
        <f t="shared" si="98"/>
        <v>2.266109824258304</v>
      </c>
      <c r="Q478">
        <f t="shared" si="99"/>
        <v>322.37175283517644</v>
      </c>
    </row>
    <row r="479" spans="1:17" x14ac:dyDescent="0.6">
      <c r="A479">
        <v>478</v>
      </c>
      <c r="B479" s="2" t="s">
        <v>88</v>
      </c>
      <c r="C479" t="s">
        <v>7</v>
      </c>
      <c r="D479">
        <v>254</v>
      </c>
      <c r="F479">
        <v>114.3</v>
      </c>
      <c r="G479">
        <v>26.524664999999999</v>
      </c>
      <c r="H479">
        <f t="shared" si="100"/>
        <v>1244.5999999999999</v>
      </c>
      <c r="I479">
        <v>512</v>
      </c>
      <c r="J479">
        <f t="shared" si="94"/>
        <v>0.40112472606010974</v>
      </c>
      <c r="K479">
        <f t="shared" si="95"/>
        <v>0.85</v>
      </c>
      <c r="L479">
        <v>1</v>
      </c>
      <c r="M479">
        <f t="shared" si="93"/>
        <v>1.6219299440496777</v>
      </c>
      <c r="N479">
        <f t="shared" si="96"/>
        <v>10.993467873542588</v>
      </c>
      <c r="O479">
        <f t="shared" si="97"/>
        <v>1.6635178913330027</v>
      </c>
      <c r="P479">
        <f t="shared" si="98"/>
        <v>1.6635178913330027</v>
      </c>
      <c r="Q479">
        <f t="shared" si="99"/>
        <v>236.64836221131418</v>
      </c>
    </row>
    <row r="480" spans="1:17" x14ac:dyDescent="0.6">
      <c r="A480">
        <v>479</v>
      </c>
      <c r="B480" s="2" t="s">
        <v>88</v>
      </c>
      <c r="C480" t="s">
        <v>7</v>
      </c>
      <c r="D480">
        <v>254</v>
      </c>
      <c r="F480">
        <v>114.3</v>
      </c>
      <c r="G480">
        <v>12.116205000000001</v>
      </c>
      <c r="H480">
        <f t="shared" si="100"/>
        <v>1244.5999999999999</v>
      </c>
      <c r="I480">
        <v>356</v>
      </c>
      <c r="J480">
        <f t="shared" si="94"/>
        <v>0.40112472606010974</v>
      </c>
      <c r="K480">
        <f t="shared" si="95"/>
        <v>0.75</v>
      </c>
      <c r="L480">
        <v>1</v>
      </c>
      <c r="M480">
        <f t="shared" si="93"/>
        <v>0.96723673435628132</v>
      </c>
      <c r="N480">
        <f t="shared" si="96"/>
        <v>6.5559465156100103</v>
      </c>
      <c r="O480">
        <f t="shared" si="97"/>
        <v>0.99203767626285255</v>
      </c>
      <c r="P480">
        <f t="shared" si="98"/>
        <v>0.99203767626285255</v>
      </c>
      <c r="Q480">
        <f t="shared" si="99"/>
        <v>141.1250775015121</v>
      </c>
    </row>
    <row r="481" spans="1:17" x14ac:dyDescent="0.6">
      <c r="A481">
        <v>480</v>
      </c>
      <c r="B481" s="2" t="s">
        <v>88</v>
      </c>
      <c r="C481" t="s">
        <v>7</v>
      </c>
      <c r="D481">
        <v>254</v>
      </c>
      <c r="F481">
        <v>114.3</v>
      </c>
      <c r="G481">
        <v>21.481704000000001</v>
      </c>
      <c r="H481">
        <f t="shared" si="100"/>
        <v>1244.5999999999999</v>
      </c>
      <c r="I481">
        <v>445</v>
      </c>
      <c r="J481">
        <f t="shared" si="94"/>
        <v>0.40112472606010974</v>
      </c>
      <c r="K481">
        <f t="shared" si="95"/>
        <v>0.75</v>
      </c>
      <c r="L481">
        <v>1</v>
      </c>
      <c r="M481">
        <f t="shared" si="93"/>
        <v>1.2879050311104563</v>
      </c>
      <c r="N481">
        <f t="shared" si="96"/>
        <v>8.7294415123351392</v>
      </c>
      <c r="O481">
        <f t="shared" si="97"/>
        <v>1.3209282370363653</v>
      </c>
      <c r="P481">
        <f t="shared" si="98"/>
        <v>1.3209282370363653</v>
      </c>
      <c r="Q481">
        <f t="shared" si="99"/>
        <v>187.91231854010709</v>
      </c>
    </row>
    <row r="482" spans="1:17" x14ac:dyDescent="0.6">
      <c r="A482">
        <v>481</v>
      </c>
      <c r="B482" s="2" t="s">
        <v>88</v>
      </c>
      <c r="C482" t="s">
        <v>7</v>
      </c>
      <c r="D482">
        <v>254</v>
      </c>
      <c r="F482">
        <v>114.3</v>
      </c>
      <c r="G482">
        <v>25.214804999999998</v>
      </c>
      <c r="H482">
        <f t="shared" si="100"/>
        <v>1244.5999999999999</v>
      </c>
      <c r="I482">
        <v>534</v>
      </c>
      <c r="J482">
        <f t="shared" si="94"/>
        <v>0.40112472606010974</v>
      </c>
      <c r="K482">
        <f t="shared" si="95"/>
        <v>0.85</v>
      </c>
      <c r="L482">
        <v>1</v>
      </c>
      <c r="M482">
        <f t="shared" si="93"/>
        <v>1.5813752775423131</v>
      </c>
      <c r="N482">
        <f t="shared" si="96"/>
        <v>10.718587676030623</v>
      </c>
      <c r="O482">
        <f t="shared" si="97"/>
        <v>1.6219233615818596</v>
      </c>
      <c r="P482">
        <f t="shared" si="98"/>
        <v>1.6219233615818596</v>
      </c>
      <c r="Q482">
        <f t="shared" si="99"/>
        <v>230.7312167487726</v>
      </c>
    </row>
    <row r="483" spans="1:17" x14ac:dyDescent="0.6">
      <c r="A483">
        <v>482</v>
      </c>
      <c r="B483" s="2" t="s">
        <v>88</v>
      </c>
      <c r="C483" t="s">
        <v>7</v>
      </c>
      <c r="D483">
        <v>254</v>
      </c>
      <c r="F483">
        <v>114.3</v>
      </c>
      <c r="G483">
        <v>32.811993000000001</v>
      </c>
      <c r="H483">
        <f t="shared" si="100"/>
        <v>1244.5999999999999</v>
      </c>
      <c r="I483">
        <v>547</v>
      </c>
      <c r="J483">
        <f t="shared" si="94"/>
        <v>0.40112472606010974</v>
      </c>
      <c r="K483">
        <f t="shared" si="95"/>
        <v>0.85</v>
      </c>
      <c r="L483">
        <v>1</v>
      </c>
      <c r="M483">
        <f t="shared" si="93"/>
        <v>1.8039456264874534</v>
      </c>
      <c r="N483">
        <f t="shared" si="96"/>
        <v>12.227173166857851</v>
      </c>
      <c r="O483">
        <f t="shared" si="97"/>
        <v>1.8502006425512343</v>
      </c>
      <c r="P483">
        <f t="shared" si="98"/>
        <v>1.8502006425512343</v>
      </c>
      <c r="Q483">
        <f t="shared" si="99"/>
        <v>263.20543596391207</v>
      </c>
    </row>
    <row r="484" spans="1:17" x14ac:dyDescent="0.6">
      <c r="A484">
        <v>483</v>
      </c>
      <c r="B484" s="2" t="s">
        <v>88</v>
      </c>
      <c r="C484" t="s">
        <v>7</v>
      </c>
      <c r="D484">
        <v>356</v>
      </c>
      <c r="F484">
        <v>117.47499999999999</v>
      </c>
      <c r="G484">
        <v>24.821847000000002</v>
      </c>
      <c r="H484">
        <f t="shared" si="100"/>
        <v>1658.95</v>
      </c>
      <c r="I484">
        <v>400</v>
      </c>
      <c r="J484">
        <f t="shared" si="94"/>
        <v>0.39609785221720722</v>
      </c>
      <c r="K484">
        <f t="shared" si="95"/>
        <v>0.85</v>
      </c>
      <c r="L484">
        <v>1</v>
      </c>
      <c r="M484">
        <f t="shared" si="93"/>
        <v>1.5690044856300251</v>
      </c>
      <c r="N484">
        <f t="shared" si="96"/>
        <v>8.3198927628058055</v>
      </c>
      <c r="O484">
        <f t="shared" si="97"/>
        <v>1.6092353698769488</v>
      </c>
      <c r="P484">
        <f t="shared" si="98"/>
        <v>1.6092353698769488</v>
      </c>
      <c r="Q484">
        <f t="shared" si="99"/>
        <v>313.61607845531887</v>
      </c>
    </row>
    <row r="485" spans="1:17" x14ac:dyDescent="0.6">
      <c r="A485">
        <v>484</v>
      </c>
      <c r="B485" s="2" t="s">
        <v>88</v>
      </c>
      <c r="C485" t="s">
        <v>7</v>
      </c>
      <c r="D485">
        <v>356</v>
      </c>
      <c r="F485">
        <v>114.3</v>
      </c>
      <c r="G485">
        <v>26.393678999999999</v>
      </c>
      <c r="H485">
        <f t="shared" si="100"/>
        <v>1652.6</v>
      </c>
      <c r="I485">
        <v>534</v>
      </c>
      <c r="J485">
        <f t="shared" si="94"/>
        <v>0.40112472606010974</v>
      </c>
      <c r="K485">
        <f t="shared" si="95"/>
        <v>0.85</v>
      </c>
      <c r="L485">
        <v>1</v>
      </c>
      <c r="M485">
        <f t="shared" si="93"/>
        <v>1.6179202223554454</v>
      </c>
      <c r="N485">
        <f t="shared" si="96"/>
        <v>8.3920377447842665</v>
      </c>
      <c r="O485">
        <f t="shared" si="97"/>
        <v>1.6594053562619953</v>
      </c>
      <c r="P485">
        <f t="shared" si="98"/>
        <v>1.6594053562619953</v>
      </c>
      <c r="Q485">
        <f t="shared" si="99"/>
        <v>313.44869524800492</v>
      </c>
    </row>
    <row r="486" spans="1:17" x14ac:dyDescent="0.6">
      <c r="A486">
        <v>485</v>
      </c>
      <c r="B486" s="2" t="s">
        <v>88</v>
      </c>
      <c r="C486" t="s">
        <v>7</v>
      </c>
      <c r="D486">
        <v>356</v>
      </c>
      <c r="F486">
        <v>114.3</v>
      </c>
      <c r="G486">
        <v>23.773959000000001</v>
      </c>
      <c r="H486">
        <f t="shared" si="100"/>
        <v>1652.6</v>
      </c>
      <c r="I486">
        <v>498</v>
      </c>
      <c r="J486">
        <f t="shared" si="94"/>
        <v>0.40112472606010974</v>
      </c>
      <c r="K486">
        <f t="shared" si="95"/>
        <v>0.75</v>
      </c>
      <c r="L486">
        <v>1</v>
      </c>
      <c r="M486">
        <f t="shared" si="93"/>
        <v>1.3548781231806828</v>
      </c>
      <c r="N486">
        <f t="shared" si="96"/>
        <v>7.0276569834583631</v>
      </c>
      <c r="O486">
        <f t="shared" si="97"/>
        <v>1.3896185878776235</v>
      </c>
      <c r="P486">
        <f t="shared" si="98"/>
        <v>1.3896185878776235</v>
      </c>
      <c r="Q486">
        <f t="shared" si="99"/>
        <v>262.48808443272583</v>
      </c>
    </row>
    <row r="487" spans="1:17" x14ac:dyDescent="0.6">
      <c r="A487">
        <v>486</v>
      </c>
      <c r="B487" s="2" t="s">
        <v>88</v>
      </c>
      <c r="C487" t="s">
        <v>7</v>
      </c>
      <c r="D487">
        <v>254</v>
      </c>
      <c r="F487">
        <v>114.3</v>
      </c>
      <c r="G487">
        <v>27.048608999999999</v>
      </c>
      <c r="H487">
        <f t="shared" si="100"/>
        <v>1244.5999999999999</v>
      </c>
      <c r="I487">
        <v>400</v>
      </c>
      <c r="J487">
        <f t="shared" si="94"/>
        <v>0.40112472606010974</v>
      </c>
      <c r="K487">
        <f t="shared" si="95"/>
        <v>0.85</v>
      </c>
      <c r="L487">
        <v>1</v>
      </c>
      <c r="M487">
        <f t="shared" si="93"/>
        <v>1.6378706705348183</v>
      </c>
      <c r="N487">
        <f t="shared" si="96"/>
        <v>11.101514380198584</v>
      </c>
      <c r="O487">
        <f t="shared" si="97"/>
        <v>1.6798673543946854</v>
      </c>
      <c r="P487">
        <f t="shared" si="98"/>
        <v>1.6798673543946854</v>
      </c>
      <c r="Q487">
        <f t="shared" si="99"/>
        <v>238.97420053066116</v>
      </c>
    </row>
    <row r="488" spans="1:17" x14ac:dyDescent="0.6">
      <c r="A488">
        <v>487</v>
      </c>
      <c r="B488" s="2" t="s">
        <v>88</v>
      </c>
      <c r="C488" t="s">
        <v>7</v>
      </c>
      <c r="D488">
        <v>356</v>
      </c>
      <c r="F488">
        <v>114.3</v>
      </c>
      <c r="G488">
        <v>20.826774</v>
      </c>
      <c r="H488">
        <f t="shared" si="100"/>
        <v>1652.6</v>
      </c>
      <c r="I488">
        <v>436</v>
      </c>
      <c r="J488">
        <f t="shared" si="94"/>
        <v>0.40112472606010974</v>
      </c>
      <c r="K488">
        <f t="shared" si="95"/>
        <v>0.75</v>
      </c>
      <c r="L488">
        <v>1</v>
      </c>
      <c r="M488">
        <f t="shared" si="93"/>
        <v>1.268120367489358</v>
      </c>
      <c r="N488">
        <f t="shared" si="96"/>
        <v>6.5776506417647003</v>
      </c>
      <c r="O488">
        <f t="shared" si="97"/>
        <v>1.3006362743480593</v>
      </c>
      <c r="P488">
        <f t="shared" si="98"/>
        <v>1.3006362743480593</v>
      </c>
      <c r="Q488">
        <f t="shared" si="99"/>
        <v>245.68002124868295</v>
      </c>
    </row>
    <row r="489" spans="1:17" x14ac:dyDescent="0.6">
      <c r="A489">
        <v>488</v>
      </c>
      <c r="B489" s="2" t="s">
        <v>88</v>
      </c>
      <c r="C489" t="s">
        <v>7</v>
      </c>
      <c r="D489">
        <v>254</v>
      </c>
      <c r="F489">
        <v>114.3</v>
      </c>
      <c r="G489">
        <v>28.358468999999999</v>
      </c>
      <c r="H489">
        <f t="shared" si="100"/>
        <v>1244.5999999999999</v>
      </c>
      <c r="I489">
        <v>445</v>
      </c>
      <c r="J489">
        <f t="shared" si="94"/>
        <v>0.40112472606010974</v>
      </c>
      <c r="K489">
        <f t="shared" si="95"/>
        <v>0.85</v>
      </c>
      <c r="L489">
        <v>1</v>
      </c>
      <c r="M489">
        <f t="shared" si="93"/>
        <v>1.6770597211730829</v>
      </c>
      <c r="N489">
        <f t="shared" si="96"/>
        <v>11.367138410858443</v>
      </c>
      <c r="O489">
        <f t="shared" si="97"/>
        <v>1.7200612524852132</v>
      </c>
      <c r="P489">
        <f t="shared" si="98"/>
        <v>1.7200612524852132</v>
      </c>
      <c r="Q489">
        <f t="shared" si="99"/>
        <v>244.6920952425659</v>
      </c>
    </row>
    <row r="490" spans="1:17" x14ac:dyDescent="0.6">
      <c r="A490">
        <v>489</v>
      </c>
      <c r="B490" s="2" t="s">
        <v>88</v>
      </c>
      <c r="C490" t="s">
        <v>7</v>
      </c>
      <c r="D490">
        <v>356</v>
      </c>
      <c r="F490">
        <v>114.3</v>
      </c>
      <c r="G490">
        <v>28.227482999999999</v>
      </c>
      <c r="H490">
        <f t="shared" si="100"/>
        <v>1652.6</v>
      </c>
      <c r="I490">
        <v>489</v>
      </c>
      <c r="J490">
        <f t="shared" si="94"/>
        <v>0.40112472606010974</v>
      </c>
      <c r="K490">
        <f t="shared" si="95"/>
        <v>0.85</v>
      </c>
      <c r="L490">
        <v>1</v>
      </c>
      <c r="M490">
        <f t="shared" si="93"/>
        <v>1.6731821212536435</v>
      </c>
      <c r="N490">
        <f t="shared" si="96"/>
        <v>8.6786773052484794</v>
      </c>
      <c r="O490">
        <f t="shared" si="97"/>
        <v>1.7160842269268137</v>
      </c>
      <c r="P490">
        <f t="shared" si="98"/>
        <v>1.7160842269268137</v>
      </c>
      <c r="Q490">
        <f t="shared" si="99"/>
        <v>324.15489068782051</v>
      </c>
    </row>
    <row r="491" spans="1:17" x14ac:dyDescent="0.6">
      <c r="A491">
        <v>490</v>
      </c>
      <c r="B491" s="2" t="s">
        <v>88</v>
      </c>
      <c r="C491" t="s">
        <v>7</v>
      </c>
      <c r="D491">
        <v>356</v>
      </c>
      <c r="F491">
        <v>120.65</v>
      </c>
      <c r="G491">
        <v>24.887339999999998</v>
      </c>
      <c r="H491">
        <f t="shared" si="100"/>
        <v>1665.3</v>
      </c>
      <c r="I491">
        <v>236</v>
      </c>
      <c r="J491">
        <f t="shared" si="94"/>
        <v>0.39125535152336954</v>
      </c>
      <c r="K491">
        <f t="shared" si="95"/>
        <v>0.85</v>
      </c>
      <c r="L491">
        <v>1</v>
      </c>
      <c r="M491">
        <f t="shared" si="93"/>
        <v>1.5710730488033608</v>
      </c>
      <c r="N491">
        <f t="shared" si="96"/>
        <v>8.5112919369438131</v>
      </c>
      <c r="O491">
        <f t="shared" si="97"/>
        <v>1.6113569731316522</v>
      </c>
      <c r="P491">
        <f t="shared" si="98"/>
        <v>1.6113569731316522</v>
      </c>
      <c r="Q491">
        <f t="shared" si="99"/>
        <v>323.75133738151834</v>
      </c>
    </row>
    <row r="492" spans="1:17" x14ac:dyDescent="0.6">
      <c r="A492">
        <v>491</v>
      </c>
      <c r="B492" s="2" t="s">
        <v>88</v>
      </c>
      <c r="C492" t="s">
        <v>7</v>
      </c>
      <c r="D492">
        <v>254</v>
      </c>
      <c r="F492">
        <v>114.3</v>
      </c>
      <c r="G492">
        <v>13.491557999999999</v>
      </c>
      <c r="H492">
        <f t="shared" si="100"/>
        <v>1244.5999999999999</v>
      </c>
      <c r="I492">
        <v>178</v>
      </c>
      <c r="J492">
        <f t="shared" si="94"/>
        <v>0.40112472606010974</v>
      </c>
      <c r="K492">
        <f t="shared" si="95"/>
        <v>0.75</v>
      </c>
      <c r="L492">
        <v>1</v>
      </c>
      <c r="M492">
        <f t="shared" si="93"/>
        <v>1.0206586677222675</v>
      </c>
      <c r="N492">
        <f t="shared" si="96"/>
        <v>6.9180412598103267</v>
      </c>
      <c r="O492">
        <f t="shared" si="97"/>
        <v>1.0468294027920693</v>
      </c>
      <c r="P492">
        <f t="shared" si="98"/>
        <v>1.0468294027920693</v>
      </c>
      <c r="Q492">
        <f t="shared" si="99"/>
        <v>148.91962687992557</v>
      </c>
    </row>
    <row r="493" spans="1:17" x14ac:dyDescent="0.6">
      <c r="A493">
        <v>492</v>
      </c>
      <c r="B493" s="2" t="s">
        <v>88</v>
      </c>
      <c r="C493" t="s">
        <v>7</v>
      </c>
      <c r="D493">
        <v>254</v>
      </c>
      <c r="F493">
        <v>114.3</v>
      </c>
      <c r="G493">
        <v>45.190170000000002</v>
      </c>
      <c r="H493">
        <f t="shared" si="100"/>
        <v>1244.5999999999999</v>
      </c>
      <c r="I493">
        <v>200</v>
      </c>
      <c r="J493">
        <f t="shared" si="94"/>
        <v>0.40112472606010974</v>
      </c>
      <c r="K493">
        <f t="shared" si="95"/>
        <v>1</v>
      </c>
      <c r="L493">
        <v>1</v>
      </c>
      <c r="M493">
        <f t="shared" si="93"/>
        <v>2.4906356484725944</v>
      </c>
      <c r="N493">
        <f t="shared" si="96"/>
        <v>16.88156944548324</v>
      </c>
      <c r="O493">
        <f t="shared" si="97"/>
        <v>2.5544981009975327</v>
      </c>
      <c r="P493">
        <f t="shared" si="98"/>
        <v>2.5544981009975327</v>
      </c>
      <c r="Q493">
        <f t="shared" si="99"/>
        <v>363.39722886212479</v>
      </c>
    </row>
    <row r="494" spans="1:17" x14ac:dyDescent="0.6">
      <c r="A494">
        <v>493</v>
      </c>
      <c r="B494" s="2" t="s">
        <v>88</v>
      </c>
      <c r="C494" t="s">
        <v>7</v>
      </c>
      <c r="D494">
        <v>254</v>
      </c>
      <c r="F494">
        <v>114.3</v>
      </c>
      <c r="G494">
        <v>45.321156000000002</v>
      </c>
      <c r="H494">
        <f t="shared" si="100"/>
        <v>1244.5999999999999</v>
      </c>
      <c r="I494">
        <v>334</v>
      </c>
      <c r="J494">
        <f t="shared" si="94"/>
        <v>0.40112472606010974</v>
      </c>
      <c r="K494">
        <f t="shared" si="95"/>
        <v>1</v>
      </c>
      <c r="L494">
        <v>1</v>
      </c>
      <c r="M494">
        <f t="shared" si="93"/>
        <v>2.4942426534739965</v>
      </c>
      <c r="N494">
        <f t="shared" si="96"/>
        <v>16.906017784789196</v>
      </c>
      <c r="O494">
        <f t="shared" si="97"/>
        <v>2.5581975933066627</v>
      </c>
      <c r="P494">
        <f t="shared" si="98"/>
        <v>2.5581975933066627</v>
      </c>
      <c r="Q494">
        <f t="shared" si="99"/>
        <v>363.92351042514872</v>
      </c>
    </row>
    <row r="495" spans="1:17" x14ac:dyDescent="0.6">
      <c r="A495">
        <v>494</v>
      </c>
      <c r="B495" s="2" t="s">
        <v>88</v>
      </c>
      <c r="C495" t="s">
        <v>7</v>
      </c>
      <c r="D495">
        <v>254</v>
      </c>
      <c r="F495">
        <v>114.3</v>
      </c>
      <c r="G495">
        <v>41.719040999999997</v>
      </c>
      <c r="H495">
        <f t="shared" si="100"/>
        <v>1244.5999999999999</v>
      </c>
      <c r="I495">
        <v>505</v>
      </c>
      <c r="J495">
        <f t="shared" si="94"/>
        <v>0.40112472606010974</v>
      </c>
      <c r="K495">
        <f t="shared" si="95"/>
        <v>1</v>
      </c>
      <c r="L495">
        <v>1</v>
      </c>
      <c r="M495">
        <f t="shared" si="93"/>
        <v>2.3930698251054543</v>
      </c>
      <c r="N495">
        <f t="shared" si="96"/>
        <v>16.220266687816455</v>
      </c>
      <c r="O495">
        <f t="shared" si="97"/>
        <v>2.4544305898517478</v>
      </c>
      <c r="P495">
        <f t="shared" si="98"/>
        <v>2.4544305898517478</v>
      </c>
      <c r="Q495">
        <f t="shared" si="99"/>
        <v>349.16184687640009</v>
      </c>
    </row>
    <row r="496" spans="1:17" x14ac:dyDescent="0.6">
      <c r="A496">
        <v>495</v>
      </c>
      <c r="B496" s="2" t="s">
        <v>88</v>
      </c>
      <c r="C496" t="s">
        <v>7</v>
      </c>
      <c r="D496">
        <v>254</v>
      </c>
      <c r="F496">
        <v>114.3</v>
      </c>
      <c r="G496">
        <v>12.836627999999999</v>
      </c>
      <c r="H496">
        <f t="shared" si="100"/>
        <v>1244.5999999999999</v>
      </c>
      <c r="I496">
        <v>329</v>
      </c>
      <c r="J496">
        <f t="shared" si="94"/>
        <v>0.40112472606010974</v>
      </c>
      <c r="K496">
        <f t="shared" si="95"/>
        <v>0.75</v>
      </c>
      <c r="L496">
        <v>1</v>
      </c>
      <c r="M496">
        <f t="shared" si="93"/>
        <v>0.99557722617500288</v>
      </c>
      <c r="N496">
        <f t="shared" si="96"/>
        <v>6.7480388359180008</v>
      </c>
      <c r="O496">
        <f t="shared" si="97"/>
        <v>1.0211048473589772</v>
      </c>
      <c r="P496">
        <f t="shared" si="98"/>
        <v>1.0211048473589772</v>
      </c>
      <c r="Q496">
        <f t="shared" si="99"/>
        <v>145.26010873252696</v>
      </c>
    </row>
    <row r="497" spans="1:17" x14ac:dyDescent="0.6">
      <c r="A497">
        <v>496</v>
      </c>
      <c r="B497" s="2" t="s">
        <v>88</v>
      </c>
      <c r="C497" t="s">
        <v>7</v>
      </c>
      <c r="D497">
        <v>254</v>
      </c>
      <c r="F497">
        <v>114.3</v>
      </c>
      <c r="G497">
        <v>48.006368999999999</v>
      </c>
      <c r="H497">
        <f t="shared" si="100"/>
        <v>1244.5999999999999</v>
      </c>
      <c r="I497">
        <v>578</v>
      </c>
      <c r="J497">
        <f t="shared" si="94"/>
        <v>0.40112472606010974</v>
      </c>
      <c r="K497">
        <f t="shared" si="95"/>
        <v>1</v>
      </c>
      <c r="L497">
        <v>1</v>
      </c>
      <c r="M497">
        <f t="shared" si="93"/>
        <v>2.5670695888935797</v>
      </c>
      <c r="N497">
        <f t="shared" si="96"/>
        <v>17.399639952504245</v>
      </c>
      <c r="O497">
        <f t="shared" si="97"/>
        <v>2.6328918860446966</v>
      </c>
      <c r="P497">
        <f t="shared" si="98"/>
        <v>2.6328918860446966</v>
      </c>
      <c r="Q497">
        <f t="shared" si="99"/>
        <v>374.54935468873151</v>
      </c>
    </row>
    <row r="498" spans="1:17" x14ac:dyDescent="0.6">
      <c r="A498">
        <v>497</v>
      </c>
      <c r="B498" s="2" t="s">
        <v>89</v>
      </c>
      <c r="C498" t="s">
        <v>10</v>
      </c>
      <c r="D498">
        <v>140</v>
      </c>
      <c r="F498">
        <v>101</v>
      </c>
      <c r="G498">
        <v>11.5395</v>
      </c>
      <c r="H498">
        <f t="shared" ref="H498:H518" si="101">PI()*(D498+F498)</f>
        <v>757.12382951514019</v>
      </c>
      <c r="I498">
        <v>183</v>
      </c>
      <c r="J498">
        <f t="shared" si="94"/>
        <v>0.42447635997800892</v>
      </c>
      <c r="K498">
        <f t="shared" si="95"/>
        <v>0.75</v>
      </c>
      <c r="L498">
        <v>1</v>
      </c>
      <c r="M498">
        <f t="shared" si="93"/>
        <v>0.94393691688305514</v>
      </c>
      <c r="N498">
        <f t="shared" si="96"/>
        <v>9.1511921077242366</v>
      </c>
      <c r="O498">
        <f t="shared" si="97"/>
        <v>0.96814042757236418</v>
      </c>
      <c r="P498">
        <f t="shared" si="98"/>
        <v>0.96814042757236418</v>
      </c>
      <c r="Q498">
        <f t="shared" si="99"/>
        <v>74.033220991233378</v>
      </c>
    </row>
    <row r="499" spans="1:17" x14ac:dyDescent="0.6">
      <c r="A499">
        <v>498</v>
      </c>
      <c r="B499" s="2" t="s">
        <v>89</v>
      </c>
      <c r="C499" t="s">
        <v>10</v>
      </c>
      <c r="D499">
        <v>140</v>
      </c>
      <c r="F499">
        <v>111</v>
      </c>
      <c r="G499">
        <v>11.5395</v>
      </c>
      <c r="H499">
        <f t="shared" si="101"/>
        <v>788.53975605103813</v>
      </c>
      <c r="I499">
        <v>177</v>
      </c>
      <c r="J499">
        <f t="shared" si="94"/>
        <v>0.40655781409087088</v>
      </c>
      <c r="K499">
        <f t="shared" si="95"/>
        <v>0.75</v>
      </c>
      <c r="L499">
        <v>1</v>
      </c>
      <c r="M499">
        <f t="shared" si="93"/>
        <v>0.94393691688305514</v>
      </c>
      <c r="N499">
        <f t="shared" si="96"/>
        <v>9.6391872580642008</v>
      </c>
      <c r="O499">
        <f t="shared" si="97"/>
        <v>0.96814042757236418</v>
      </c>
      <c r="P499">
        <f t="shared" si="98"/>
        <v>0.96814042757236418</v>
      </c>
      <c r="Q499">
        <f t="shared" si="99"/>
        <v>84.739311040497654</v>
      </c>
    </row>
    <row r="500" spans="1:17" x14ac:dyDescent="0.6">
      <c r="A500">
        <v>499</v>
      </c>
      <c r="B500" s="2" t="s">
        <v>89</v>
      </c>
      <c r="C500" t="s">
        <v>10</v>
      </c>
      <c r="D500">
        <v>140</v>
      </c>
      <c r="F500">
        <v>106</v>
      </c>
      <c r="G500">
        <v>11.5395</v>
      </c>
      <c r="H500">
        <f t="shared" si="101"/>
        <v>772.8317927830891</v>
      </c>
      <c r="I500">
        <v>172</v>
      </c>
      <c r="J500">
        <f t="shared" si="94"/>
        <v>0.41522739926869984</v>
      </c>
      <c r="K500">
        <f t="shared" si="95"/>
        <v>0.75</v>
      </c>
      <c r="L500">
        <v>1</v>
      </c>
      <c r="M500">
        <f t="shared" si="93"/>
        <v>0.94393691688305514</v>
      </c>
      <c r="N500">
        <f t="shared" si="96"/>
        <v>9.400148983202552</v>
      </c>
      <c r="O500">
        <f t="shared" si="97"/>
        <v>0.96814042757236418</v>
      </c>
      <c r="P500">
        <f t="shared" si="98"/>
        <v>0.96814042757236418</v>
      </c>
      <c r="Q500">
        <f t="shared" si="99"/>
        <v>79.310228444492878</v>
      </c>
    </row>
    <row r="501" spans="1:17" x14ac:dyDescent="0.6">
      <c r="A501">
        <v>500</v>
      </c>
      <c r="B501" s="2" t="s">
        <v>89</v>
      </c>
      <c r="C501" t="s">
        <v>10</v>
      </c>
      <c r="D501">
        <v>140</v>
      </c>
      <c r="F501">
        <v>110</v>
      </c>
      <c r="G501">
        <v>11.5395</v>
      </c>
      <c r="H501">
        <f t="shared" si="101"/>
        <v>785.39816339744823</v>
      </c>
      <c r="I501">
        <v>177</v>
      </c>
      <c r="J501">
        <f t="shared" si="94"/>
        <v>0.40824829046386302</v>
      </c>
      <c r="K501">
        <f t="shared" si="95"/>
        <v>0.75</v>
      </c>
      <c r="L501">
        <v>1</v>
      </c>
      <c r="M501">
        <f t="shared" si="93"/>
        <v>0.94393691688305514</v>
      </c>
      <c r="N501">
        <f t="shared" si="96"/>
        <v>9.592144525571431</v>
      </c>
      <c r="O501">
        <f t="shared" si="97"/>
        <v>0.96814042757236418</v>
      </c>
      <c r="P501">
        <f t="shared" si="98"/>
        <v>0.96814042757236418</v>
      </c>
      <c r="Q501">
        <f t="shared" si="99"/>
        <v>83.641328509877056</v>
      </c>
    </row>
    <row r="502" spans="1:17" x14ac:dyDescent="0.6">
      <c r="A502">
        <v>501</v>
      </c>
      <c r="B502" s="2" t="s">
        <v>89</v>
      </c>
      <c r="C502" t="s">
        <v>10</v>
      </c>
      <c r="D502">
        <v>140</v>
      </c>
      <c r="F502">
        <v>111</v>
      </c>
      <c r="G502">
        <v>11.5395</v>
      </c>
      <c r="H502">
        <f t="shared" si="101"/>
        <v>788.53975605103813</v>
      </c>
      <c r="I502">
        <v>198</v>
      </c>
      <c r="J502">
        <f t="shared" si="94"/>
        <v>0.40655781409087088</v>
      </c>
      <c r="K502">
        <f t="shared" si="95"/>
        <v>0.75</v>
      </c>
      <c r="L502">
        <v>1</v>
      </c>
      <c r="M502">
        <f t="shared" si="93"/>
        <v>0.94393691688305514</v>
      </c>
      <c r="N502">
        <f t="shared" si="96"/>
        <v>9.6391872580642008</v>
      </c>
      <c r="O502">
        <f t="shared" si="97"/>
        <v>0.96814042757236418</v>
      </c>
      <c r="P502">
        <f t="shared" si="98"/>
        <v>0.96814042757236418</v>
      </c>
      <c r="Q502">
        <f t="shared" si="99"/>
        <v>84.739311040497654</v>
      </c>
    </row>
    <row r="503" spans="1:17" x14ac:dyDescent="0.6">
      <c r="A503">
        <v>502</v>
      </c>
      <c r="B503" s="2" t="s">
        <v>89</v>
      </c>
      <c r="C503" t="s">
        <v>10</v>
      </c>
      <c r="D503">
        <v>140</v>
      </c>
      <c r="F503">
        <v>107</v>
      </c>
      <c r="G503">
        <v>11.5395</v>
      </c>
      <c r="H503">
        <f t="shared" si="101"/>
        <v>775.97338543667888</v>
      </c>
      <c r="I503">
        <v>183</v>
      </c>
      <c r="J503">
        <f t="shared" si="94"/>
        <v>0.4134491152973615</v>
      </c>
      <c r="K503">
        <f t="shared" si="95"/>
        <v>0.75</v>
      </c>
      <c r="L503">
        <v>1</v>
      </c>
      <c r="M503">
        <f t="shared" si="93"/>
        <v>0.94393691688305514</v>
      </c>
      <c r="N503">
        <f t="shared" si="96"/>
        <v>9.4487308512108719</v>
      </c>
      <c r="O503">
        <f t="shared" si="97"/>
        <v>0.96814042757236418</v>
      </c>
      <c r="P503">
        <f t="shared" si="98"/>
        <v>0.96814042757236418</v>
      </c>
      <c r="Q503">
        <f t="shared" si="99"/>
        <v>80.383878952274216</v>
      </c>
    </row>
    <row r="504" spans="1:17" x14ac:dyDescent="0.6">
      <c r="A504">
        <v>503</v>
      </c>
      <c r="B504" s="2" t="s">
        <v>89</v>
      </c>
      <c r="C504" t="s">
        <v>10</v>
      </c>
      <c r="D504">
        <v>140</v>
      </c>
      <c r="F504">
        <v>106</v>
      </c>
      <c r="G504">
        <v>11.5395</v>
      </c>
      <c r="H504">
        <f t="shared" si="101"/>
        <v>772.8317927830891</v>
      </c>
      <c r="I504">
        <v>187</v>
      </c>
      <c r="J504">
        <f t="shared" si="94"/>
        <v>0.41522739926869984</v>
      </c>
      <c r="K504">
        <f t="shared" si="95"/>
        <v>0.75</v>
      </c>
      <c r="L504">
        <v>1</v>
      </c>
      <c r="M504">
        <f t="shared" si="93"/>
        <v>0.94393691688305514</v>
      </c>
      <c r="N504">
        <f t="shared" si="96"/>
        <v>9.400148983202552</v>
      </c>
      <c r="O504">
        <f t="shared" si="97"/>
        <v>0.96814042757236418</v>
      </c>
      <c r="P504">
        <f t="shared" si="98"/>
        <v>0.96814042757236418</v>
      </c>
      <c r="Q504">
        <f t="shared" si="99"/>
        <v>79.310228444492878</v>
      </c>
    </row>
    <row r="505" spans="1:17" x14ac:dyDescent="0.6">
      <c r="A505">
        <v>504</v>
      </c>
      <c r="B505" s="1" t="s">
        <v>27</v>
      </c>
      <c r="C505" t="s">
        <v>10</v>
      </c>
      <c r="D505">
        <v>51</v>
      </c>
      <c r="F505">
        <v>130</v>
      </c>
      <c r="G505">
        <v>24.89095</v>
      </c>
      <c r="H505">
        <f t="shared" si="101"/>
        <v>568.62827029975256</v>
      </c>
      <c r="I505">
        <v>151</v>
      </c>
      <c r="J505">
        <f t="shared" si="94"/>
        <v>0.3779644730092272</v>
      </c>
      <c r="K505">
        <f t="shared" si="95"/>
        <v>0.85</v>
      </c>
      <c r="L505">
        <v>1</v>
      </c>
      <c r="M505">
        <f t="shared" si="93"/>
        <v>1.571186989627299</v>
      </c>
      <c r="N505">
        <f t="shared" si="96"/>
        <v>25.731120966852938</v>
      </c>
      <c r="O505">
        <f t="shared" si="97"/>
        <v>1.6114738355151783</v>
      </c>
      <c r="P505">
        <f t="shared" si="98"/>
        <v>1.6114738355151783</v>
      </c>
      <c r="Q505">
        <f t="shared" si="99"/>
        <v>119.1228453638995</v>
      </c>
    </row>
    <row r="506" spans="1:17" x14ac:dyDescent="0.6">
      <c r="A506">
        <v>505</v>
      </c>
      <c r="B506" s="1" t="s">
        <v>27</v>
      </c>
      <c r="C506" t="s">
        <v>10</v>
      </c>
      <c r="D506">
        <v>51</v>
      </c>
      <c r="F506">
        <v>130</v>
      </c>
      <c r="G506">
        <v>24.89095</v>
      </c>
      <c r="H506">
        <f t="shared" si="101"/>
        <v>568.62827029975256</v>
      </c>
      <c r="I506">
        <v>166</v>
      </c>
      <c r="J506">
        <f t="shared" si="94"/>
        <v>0.3779644730092272</v>
      </c>
      <c r="K506">
        <f t="shared" si="95"/>
        <v>0.85</v>
      </c>
      <c r="L506">
        <v>1</v>
      </c>
      <c r="M506">
        <f t="shared" si="93"/>
        <v>1.571186989627299</v>
      </c>
      <c r="N506">
        <f t="shared" si="96"/>
        <v>25.731120966852938</v>
      </c>
      <c r="O506">
        <f t="shared" si="97"/>
        <v>1.6114738355151783</v>
      </c>
      <c r="P506">
        <f t="shared" si="98"/>
        <v>1.6114738355151783</v>
      </c>
      <c r="Q506">
        <f t="shared" si="99"/>
        <v>119.1228453638995</v>
      </c>
    </row>
    <row r="507" spans="1:17" x14ac:dyDescent="0.6">
      <c r="A507">
        <v>506</v>
      </c>
      <c r="B507" s="1" t="s">
        <v>27</v>
      </c>
      <c r="C507" t="s">
        <v>10</v>
      </c>
      <c r="D507">
        <v>152</v>
      </c>
      <c r="F507">
        <v>130</v>
      </c>
      <c r="G507">
        <v>24.89095</v>
      </c>
      <c r="H507">
        <f t="shared" si="101"/>
        <v>885.92912831232161</v>
      </c>
      <c r="I507">
        <v>201</v>
      </c>
      <c r="J507">
        <f t="shared" si="94"/>
        <v>0.3779644730092272</v>
      </c>
      <c r="K507">
        <f t="shared" si="95"/>
        <v>0.85</v>
      </c>
      <c r="L507">
        <v>1</v>
      </c>
      <c r="M507">
        <f t="shared" si="93"/>
        <v>1.571186989627299</v>
      </c>
      <c r="N507">
        <f t="shared" si="96"/>
        <v>16.702941573231094</v>
      </c>
      <c r="O507">
        <f t="shared" si="97"/>
        <v>1.6114738355151783</v>
      </c>
      <c r="P507">
        <f t="shared" si="98"/>
        <v>1.6114738355151783</v>
      </c>
      <c r="Q507">
        <f t="shared" si="99"/>
        <v>185.59470935148983</v>
      </c>
    </row>
    <row r="508" spans="1:17" x14ac:dyDescent="0.6">
      <c r="A508">
        <v>507</v>
      </c>
      <c r="B508" s="1" t="s">
        <v>27</v>
      </c>
      <c r="C508" t="s">
        <v>10</v>
      </c>
      <c r="D508">
        <v>152</v>
      </c>
      <c r="F508">
        <v>130</v>
      </c>
      <c r="G508">
        <v>24.89095</v>
      </c>
      <c r="H508">
        <f t="shared" si="101"/>
        <v>885.92912831232161</v>
      </c>
      <c r="I508">
        <v>198</v>
      </c>
      <c r="J508">
        <f t="shared" si="94"/>
        <v>0.3779644730092272</v>
      </c>
      <c r="K508">
        <f t="shared" si="95"/>
        <v>0.85</v>
      </c>
      <c r="L508">
        <v>1</v>
      </c>
      <c r="M508">
        <f t="shared" si="93"/>
        <v>1.571186989627299</v>
      </c>
      <c r="N508">
        <f t="shared" si="96"/>
        <v>16.702941573231094</v>
      </c>
      <c r="O508">
        <f t="shared" si="97"/>
        <v>1.6114738355151783</v>
      </c>
      <c r="P508">
        <f t="shared" si="98"/>
        <v>1.6114738355151783</v>
      </c>
      <c r="Q508">
        <f t="shared" si="99"/>
        <v>185.59470935148983</v>
      </c>
    </row>
    <row r="509" spans="1:17" x14ac:dyDescent="0.6">
      <c r="A509">
        <v>508</v>
      </c>
      <c r="B509" s="1" t="s">
        <v>27</v>
      </c>
      <c r="C509" t="s">
        <v>10</v>
      </c>
      <c r="D509">
        <v>152</v>
      </c>
      <c r="F509">
        <v>130</v>
      </c>
      <c r="G509">
        <v>24.89095</v>
      </c>
      <c r="H509">
        <f t="shared" si="101"/>
        <v>885.92912831232161</v>
      </c>
      <c r="I509">
        <v>200</v>
      </c>
      <c r="J509">
        <f t="shared" si="94"/>
        <v>0.3779644730092272</v>
      </c>
      <c r="K509">
        <f t="shared" si="95"/>
        <v>0.85</v>
      </c>
      <c r="L509">
        <v>1</v>
      </c>
      <c r="M509">
        <f t="shared" si="93"/>
        <v>1.571186989627299</v>
      </c>
      <c r="N509">
        <f t="shared" si="96"/>
        <v>16.702941573231094</v>
      </c>
      <c r="O509">
        <f t="shared" si="97"/>
        <v>1.6114738355151783</v>
      </c>
      <c r="P509">
        <f t="shared" si="98"/>
        <v>1.6114738355151783</v>
      </c>
      <c r="Q509">
        <f t="shared" si="99"/>
        <v>185.59470935148983</v>
      </c>
    </row>
    <row r="510" spans="1:17" x14ac:dyDescent="0.6">
      <c r="A510">
        <v>509</v>
      </c>
      <c r="B510" s="1" t="s">
        <v>27</v>
      </c>
      <c r="C510" t="s">
        <v>10</v>
      </c>
      <c r="D510">
        <v>152</v>
      </c>
      <c r="F510">
        <v>130</v>
      </c>
      <c r="G510">
        <v>24.89095</v>
      </c>
      <c r="H510">
        <f t="shared" si="101"/>
        <v>885.92912831232161</v>
      </c>
      <c r="I510">
        <v>199</v>
      </c>
      <c r="J510">
        <f t="shared" si="94"/>
        <v>0.3779644730092272</v>
      </c>
      <c r="K510">
        <f t="shared" si="95"/>
        <v>0.85</v>
      </c>
      <c r="L510">
        <v>1</v>
      </c>
      <c r="M510">
        <f t="shared" si="93"/>
        <v>1.571186989627299</v>
      </c>
      <c r="N510">
        <f t="shared" si="96"/>
        <v>16.702941573231094</v>
      </c>
      <c r="O510">
        <f t="shared" si="97"/>
        <v>1.6114738355151783</v>
      </c>
      <c r="P510">
        <f t="shared" si="98"/>
        <v>1.6114738355151783</v>
      </c>
      <c r="Q510">
        <f t="shared" si="99"/>
        <v>185.59470935148983</v>
      </c>
    </row>
    <row r="511" spans="1:17" x14ac:dyDescent="0.6">
      <c r="A511">
        <v>510</v>
      </c>
      <c r="B511" s="1" t="s">
        <v>27</v>
      </c>
      <c r="C511" t="s">
        <v>10</v>
      </c>
      <c r="D511">
        <v>254</v>
      </c>
      <c r="F511">
        <v>130</v>
      </c>
      <c r="G511">
        <v>24.89095</v>
      </c>
      <c r="H511">
        <f t="shared" si="101"/>
        <v>1206.3715789784806</v>
      </c>
      <c r="I511">
        <v>220</v>
      </c>
      <c r="J511">
        <f t="shared" si="94"/>
        <v>0.3779644730092272</v>
      </c>
      <c r="K511">
        <f t="shared" si="95"/>
        <v>0.85</v>
      </c>
      <c r="L511">
        <v>1</v>
      </c>
      <c r="M511">
        <f t="shared" si="93"/>
        <v>1.571186989627299</v>
      </c>
      <c r="N511">
        <f t="shared" si="96"/>
        <v>12.405338232548166</v>
      </c>
      <c r="O511">
        <f t="shared" si="97"/>
        <v>1.6114738355151783</v>
      </c>
      <c r="P511">
        <f t="shared" si="98"/>
        <v>1.6114738355151783</v>
      </c>
      <c r="Q511">
        <f t="shared" si="99"/>
        <v>252.72471060628399</v>
      </c>
    </row>
    <row r="512" spans="1:17" x14ac:dyDescent="0.6">
      <c r="A512">
        <v>511</v>
      </c>
      <c r="B512" s="1" t="s">
        <v>27</v>
      </c>
      <c r="C512" t="s">
        <v>10</v>
      </c>
      <c r="D512">
        <v>254</v>
      </c>
      <c r="F512">
        <v>130</v>
      </c>
      <c r="G512">
        <v>24.89095</v>
      </c>
      <c r="H512">
        <f t="shared" si="101"/>
        <v>1206.3715789784806</v>
      </c>
      <c r="I512">
        <v>216</v>
      </c>
      <c r="J512">
        <f t="shared" si="94"/>
        <v>0.3779644730092272</v>
      </c>
      <c r="K512">
        <f t="shared" si="95"/>
        <v>0.85</v>
      </c>
      <c r="L512">
        <v>1</v>
      </c>
      <c r="M512">
        <f t="shared" si="93"/>
        <v>1.571186989627299</v>
      </c>
      <c r="N512">
        <f t="shared" si="96"/>
        <v>12.405338232548166</v>
      </c>
      <c r="O512">
        <f t="shared" si="97"/>
        <v>1.6114738355151783</v>
      </c>
      <c r="P512">
        <f t="shared" si="98"/>
        <v>1.6114738355151783</v>
      </c>
      <c r="Q512">
        <f t="shared" si="99"/>
        <v>252.72471060628399</v>
      </c>
    </row>
    <row r="513" spans="1:17" x14ac:dyDescent="0.6">
      <c r="A513">
        <v>512</v>
      </c>
      <c r="B513" s="1" t="s">
        <v>27</v>
      </c>
      <c r="C513" t="s">
        <v>10</v>
      </c>
      <c r="D513">
        <v>356</v>
      </c>
      <c r="F513">
        <v>130</v>
      </c>
      <c r="G513">
        <v>24.89095</v>
      </c>
      <c r="H513">
        <f t="shared" si="101"/>
        <v>1526.8140296446395</v>
      </c>
      <c r="I513">
        <v>243</v>
      </c>
      <c r="J513">
        <f t="shared" si="94"/>
        <v>0.3779644730092272</v>
      </c>
      <c r="K513">
        <f t="shared" si="95"/>
        <v>0.85</v>
      </c>
      <c r="L513">
        <v>1</v>
      </c>
      <c r="M513">
        <f t="shared" si="93"/>
        <v>1.571186989627299</v>
      </c>
      <c r="N513">
        <f t="shared" si="96"/>
        <v>9.9116671583247395</v>
      </c>
      <c r="O513">
        <f t="shared" si="97"/>
        <v>1.6114738355151783</v>
      </c>
      <c r="P513">
        <f t="shared" si="98"/>
        <v>1.6114738355151783</v>
      </c>
      <c r="Q513">
        <f t="shared" si="99"/>
        <v>319.85471186107821</v>
      </c>
    </row>
    <row r="514" spans="1:17" x14ac:dyDescent="0.6">
      <c r="A514">
        <v>513</v>
      </c>
      <c r="B514" s="1" t="s">
        <v>27</v>
      </c>
      <c r="C514" t="s">
        <v>10</v>
      </c>
      <c r="D514">
        <v>356</v>
      </c>
      <c r="F514">
        <v>130</v>
      </c>
      <c r="G514">
        <v>24.89095</v>
      </c>
      <c r="H514">
        <f t="shared" si="101"/>
        <v>1526.8140296446395</v>
      </c>
      <c r="I514">
        <v>243</v>
      </c>
      <c r="J514">
        <f t="shared" si="94"/>
        <v>0.3779644730092272</v>
      </c>
      <c r="K514">
        <f t="shared" si="95"/>
        <v>0.85</v>
      </c>
      <c r="L514">
        <v>1</v>
      </c>
      <c r="M514">
        <f t="shared" ref="M514:M519" si="102">0.19*(1+2/L514)*K514*0.65*(G514)^0.5</f>
        <v>1.571186989627299</v>
      </c>
      <c r="N514">
        <f t="shared" si="96"/>
        <v>9.9116671583247395</v>
      </c>
      <c r="O514">
        <f t="shared" si="97"/>
        <v>1.6114738355151783</v>
      </c>
      <c r="P514">
        <f t="shared" si="98"/>
        <v>1.6114738355151783</v>
      </c>
      <c r="Q514">
        <f t="shared" si="99"/>
        <v>319.85471186107821</v>
      </c>
    </row>
    <row r="515" spans="1:17" x14ac:dyDescent="0.6">
      <c r="A515">
        <v>514</v>
      </c>
      <c r="B515" s="1" t="s">
        <v>27</v>
      </c>
      <c r="C515" t="s">
        <v>10</v>
      </c>
      <c r="D515">
        <v>356</v>
      </c>
      <c r="F515">
        <v>130</v>
      </c>
      <c r="G515">
        <v>24.89095</v>
      </c>
      <c r="H515">
        <f t="shared" si="101"/>
        <v>1526.8140296446395</v>
      </c>
      <c r="I515">
        <v>249</v>
      </c>
      <c r="J515">
        <f t="shared" ref="J515:J520" si="103">(2/(1+F515/10))^0.5</f>
        <v>0.3779644730092272</v>
      </c>
      <c r="K515">
        <f t="shared" ref="K515:K520" si="104">IF(G515&lt;24, 0.75, IF(G515&lt;35, 0.85, 1))</f>
        <v>0.85</v>
      </c>
      <c r="L515">
        <v>1</v>
      </c>
      <c r="M515">
        <f t="shared" si="102"/>
        <v>1.571186989627299</v>
      </c>
      <c r="N515">
        <f t="shared" ref="N515:N520" si="105">(40*F515/H515+0.19)*K515*0.65*(G515)^0.5</f>
        <v>9.9116671583247395</v>
      </c>
      <c r="O515">
        <f t="shared" ref="O515:O520" si="106">0.38*K515*(G515)^0.5</f>
        <v>1.6114738355151783</v>
      </c>
      <c r="P515">
        <f t="shared" ref="P515:P520" si="107">O515</f>
        <v>1.6114738355151783</v>
      </c>
      <c r="Q515">
        <f t="shared" ref="Q515:Q520" si="108">P515*H515*F515/1000</f>
        <v>319.85471186107821</v>
      </c>
    </row>
    <row r="516" spans="1:17" x14ac:dyDescent="0.6">
      <c r="A516">
        <v>515</v>
      </c>
      <c r="B516" s="1" t="s">
        <v>27</v>
      </c>
      <c r="C516" t="s">
        <v>10</v>
      </c>
      <c r="D516">
        <v>356</v>
      </c>
      <c r="F516">
        <v>130</v>
      </c>
      <c r="G516">
        <v>24.89095</v>
      </c>
      <c r="H516">
        <f t="shared" si="101"/>
        <v>1526.8140296446395</v>
      </c>
      <c r="I516">
        <v>239</v>
      </c>
      <c r="J516">
        <f t="shared" si="103"/>
        <v>0.3779644730092272</v>
      </c>
      <c r="K516">
        <f t="shared" si="104"/>
        <v>0.85</v>
      </c>
      <c r="L516">
        <v>1</v>
      </c>
      <c r="M516">
        <f t="shared" si="102"/>
        <v>1.571186989627299</v>
      </c>
      <c r="N516">
        <f t="shared" si="105"/>
        <v>9.9116671583247395</v>
      </c>
      <c r="O516">
        <f t="shared" si="106"/>
        <v>1.6114738355151783</v>
      </c>
      <c r="P516">
        <f t="shared" si="107"/>
        <v>1.6114738355151783</v>
      </c>
      <c r="Q516">
        <f t="shared" si="108"/>
        <v>319.85471186107821</v>
      </c>
    </row>
    <row r="517" spans="1:17" x14ac:dyDescent="0.6">
      <c r="A517">
        <v>516</v>
      </c>
      <c r="B517" s="1" t="s">
        <v>27</v>
      </c>
      <c r="C517" t="s">
        <v>10</v>
      </c>
      <c r="D517">
        <v>152</v>
      </c>
      <c r="F517">
        <v>130</v>
      </c>
      <c r="G517">
        <v>24.89095</v>
      </c>
      <c r="H517">
        <f t="shared" si="101"/>
        <v>885.92912831232161</v>
      </c>
      <c r="I517">
        <v>203</v>
      </c>
      <c r="J517">
        <f t="shared" si="103"/>
        <v>0.3779644730092272</v>
      </c>
      <c r="K517">
        <f t="shared" si="104"/>
        <v>0.85</v>
      </c>
      <c r="L517">
        <v>1</v>
      </c>
      <c r="M517">
        <f t="shared" si="102"/>
        <v>1.571186989627299</v>
      </c>
      <c r="N517">
        <f t="shared" si="105"/>
        <v>16.702941573231094</v>
      </c>
      <c r="O517">
        <f t="shared" si="106"/>
        <v>1.6114738355151783</v>
      </c>
      <c r="P517">
        <f t="shared" si="107"/>
        <v>1.6114738355151783</v>
      </c>
      <c r="Q517">
        <f t="shared" si="108"/>
        <v>185.59470935148983</v>
      </c>
    </row>
    <row r="518" spans="1:17" x14ac:dyDescent="0.6">
      <c r="A518">
        <v>517</v>
      </c>
      <c r="B518" s="1" t="s">
        <v>27</v>
      </c>
      <c r="C518" t="s">
        <v>10</v>
      </c>
      <c r="D518">
        <v>152</v>
      </c>
      <c r="F518">
        <v>130</v>
      </c>
      <c r="G518">
        <v>24.89095</v>
      </c>
      <c r="H518">
        <f t="shared" si="101"/>
        <v>885.92912831232161</v>
      </c>
      <c r="I518">
        <v>202</v>
      </c>
      <c r="J518">
        <f t="shared" si="103"/>
        <v>0.3779644730092272</v>
      </c>
      <c r="K518">
        <f t="shared" si="104"/>
        <v>0.85</v>
      </c>
      <c r="L518">
        <v>1</v>
      </c>
      <c r="M518">
        <f t="shared" si="102"/>
        <v>1.571186989627299</v>
      </c>
      <c r="N518">
        <f t="shared" si="105"/>
        <v>16.702941573231094</v>
      </c>
      <c r="O518">
        <f t="shared" si="106"/>
        <v>1.6114738355151783</v>
      </c>
      <c r="P518">
        <f t="shared" si="107"/>
        <v>1.6114738355151783</v>
      </c>
      <c r="Q518">
        <f t="shared" si="108"/>
        <v>185.59470935148983</v>
      </c>
    </row>
    <row r="519" spans="1:17" x14ac:dyDescent="0.6">
      <c r="A519">
        <v>518</v>
      </c>
      <c r="B519" s="2" t="s">
        <v>90</v>
      </c>
      <c r="C519" t="s">
        <v>7</v>
      </c>
      <c r="D519">
        <v>300</v>
      </c>
      <c r="F519">
        <v>271</v>
      </c>
      <c r="G519">
        <v>12.3</v>
      </c>
      <c r="H519">
        <f t="shared" ref="H519:H520" si="109">4*D519+2*F519</f>
        <v>1742</v>
      </c>
      <c r="I519">
        <v>1165</v>
      </c>
      <c r="J519">
        <f t="shared" si="103"/>
        <v>0.26678526425610405</v>
      </c>
      <c r="K519">
        <f t="shared" si="104"/>
        <v>0.75</v>
      </c>
      <c r="L519">
        <v>1</v>
      </c>
      <c r="M519">
        <f t="shared" si="102"/>
        <v>0.97454530022339159</v>
      </c>
      <c r="N519">
        <f t="shared" si="105"/>
        <v>10.964032124689814</v>
      </c>
      <c r="O519">
        <f t="shared" si="106"/>
        <v>0.99953364125476052</v>
      </c>
      <c r="P519">
        <f t="shared" si="107"/>
        <v>0.99953364125476052</v>
      </c>
      <c r="Q519">
        <f t="shared" si="108"/>
        <v>471.86184043082989</v>
      </c>
    </row>
    <row r="520" spans="1:17" x14ac:dyDescent="0.6">
      <c r="A520">
        <v>519</v>
      </c>
      <c r="B520" s="2" t="s">
        <v>90</v>
      </c>
      <c r="C520" t="s">
        <v>7</v>
      </c>
      <c r="D520">
        <v>300</v>
      </c>
      <c r="F520">
        <v>473</v>
      </c>
      <c r="G520">
        <v>13.05</v>
      </c>
      <c r="H520">
        <f t="shared" si="109"/>
        <v>2146</v>
      </c>
      <c r="I520">
        <v>1659</v>
      </c>
      <c r="J520">
        <f t="shared" si="103"/>
        <v>0.20348923188911991</v>
      </c>
      <c r="K520">
        <f t="shared" si="104"/>
        <v>0.75</v>
      </c>
      <c r="L520">
        <v>1</v>
      </c>
      <c r="M520">
        <f t="shared" ref="M493:M520" si="110">0.19*(1+2/L520)*K520*0.65*(G520)^0.5</f>
        <v>1.0038174280745729</v>
      </c>
      <c r="N520">
        <f t="shared" si="105"/>
        <v>15.861024392418408</v>
      </c>
      <c r="O520">
        <f t="shared" si="106"/>
        <v>1.0295563364867413</v>
      </c>
      <c r="P520">
        <f t="shared" si="107"/>
        <v>1.0295563364867413</v>
      </c>
      <c r="Q520">
        <f t="shared" si="108"/>
        <v>1045.0593958015586</v>
      </c>
    </row>
  </sheetData>
  <autoFilter ref="A1:G520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2025-09-07T12:26:03Z</dcterms:modified>
</cp:coreProperties>
</file>